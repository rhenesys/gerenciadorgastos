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/Users/ronaldoguastalli/OneDrive/projeto_java_despesas_pessoais/"/>
    </mc:Choice>
  </mc:AlternateContent>
  <xr:revisionPtr revIDLastSave="88" documentId="11_95446BC4B073E54F0B6CD20DBBEF9FCEBF0FC5E2" xr6:coauthVersionLast="33" xr6:coauthVersionMax="33" xr10:uidLastSave="{84D54632-1039-394C-919A-247749D32B37}"/>
  <bookViews>
    <workbookView xWindow="0" yWindow="460" windowWidth="33600" windowHeight="20540" tabRatio="906" activeTab="7" xr2:uid="{00000000-000D-0000-FFFF-FFFF00000000}"/>
  </bookViews>
  <sheets>
    <sheet name="PROVENTOS&amp;DESCONTOS" sheetId="11" r:id="rId1"/>
    <sheet name="GASTOS" sheetId="10" r:id="rId2"/>
    <sheet name="DASHBOARD" sheetId="66" r:id="rId3"/>
    <sheet name="ENTRADA" sheetId="42" r:id="rId4"/>
    <sheet name="CC_JAN" sheetId="96" r:id="rId5"/>
    <sheet name="Classificacao" sheetId="43" r:id="rId6"/>
    <sheet name="Gráfico" sheetId="82" r:id="rId7"/>
    <sheet name="Dados Receita" sheetId="90" r:id="rId8"/>
  </sheets>
  <functionGroups builtInGroupCount="19"/>
  <definedNames>
    <definedName name="_xlnm._FilterDatabase" localSheetId="4" hidden="1">CC_JAN!$J$6:$M$387</definedName>
    <definedName name="_xlnm._FilterDatabase" localSheetId="5" hidden="1">Classificacao!$B$4:$AE$58</definedName>
    <definedName name="_xlnm._FilterDatabase" localSheetId="1" hidden="1">GASTOS!$C$14:$AA$128</definedName>
    <definedName name="_xlnm._FilterDatabase" localSheetId="0" hidden="1">'PROVENTOS&amp;DESCONTOS'!$B$6:$Z$19</definedName>
    <definedName name="CC_ABR">#REF!</definedName>
    <definedName name="CC_AGO">#REF!</definedName>
    <definedName name="CC_DEZ">#REF!</definedName>
    <definedName name="CC_FEV">#REF!</definedName>
    <definedName name="CC_JAN">CC_JAN!$G$2</definedName>
    <definedName name="CC_JUL">#REF!</definedName>
    <definedName name="CC_JUN">#REF!</definedName>
    <definedName name="CC_MAI">#REF!</definedName>
    <definedName name="CC_MAR">#REF!</definedName>
    <definedName name="CC_NOV">#REF!</definedName>
    <definedName name="CC_OUT">#REF!</definedName>
    <definedName name="CC_SET">#REF!</definedName>
    <definedName name="Jan2016_ExtratoContaCorrente.txt" localSheetId="4">CC_JAN!$R$335:$U$443</definedName>
    <definedName name="LiquidoAbril">'PROVENTOS&amp;DESCONTOS'!$S$10</definedName>
    <definedName name="LiquidoAgosto">'PROVENTOS&amp;DESCONTOS'!$S$14</definedName>
    <definedName name="LiquidoDezembro">'PROVENTOS&amp;DESCONTOS'!$S$18</definedName>
    <definedName name="LiquidoFevereiro">'PROVENTOS&amp;DESCONTOS'!$S$8</definedName>
    <definedName name="LiquidoJaneiro">'PROVENTOS&amp;DESCONTOS'!$S$7</definedName>
    <definedName name="LiquidoJulho">'PROVENTOS&amp;DESCONTOS'!$S$13</definedName>
    <definedName name="LiquidoJunho">'PROVENTOS&amp;DESCONTOS'!$S$12</definedName>
    <definedName name="LiquidoMaio">'PROVENTOS&amp;DESCONTOS'!$S$11</definedName>
    <definedName name="LiquidoMarco">'PROVENTOS&amp;DESCONTOS'!$S$9</definedName>
    <definedName name="LiquidoNovembro">'PROVENTOS&amp;DESCONTOS'!$S$17</definedName>
    <definedName name="LiquidoOutubro">'PROVENTOS&amp;DESCONTOS'!$S$16</definedName>
    <definedName name="LiquidoSetembro">'PROVENTOS&amp;DESCONTOS'!$S$15</definedName>
    <definedName name="saldoabr">GASTOS!$K$128</definedName>
    <definedName name="saldoago">GASTOS!$S$128</definedName>
    <definedName name="saldodez">GASTOS!$AA$128</definedName>
    <definedName name="saldofev">GASTOS!$G$128</definedName>
    <definedName name="saldojan">GASTOS!$E$128</definedName>
    <definedName name="saldojul">GASTOS!$Q$128</definedName>
    <definedName name="saldojun">GASTOS!$O$128</definedName>
    <definedName name="saldomai">GASTOS!$M$128</definedName>
    <definedName name="saldomar">GASTOS!$I$128</definedName>
    <definedName name="saldonov">GASTOS!$Y$128</definedName>
    <definedName name="saldoout">GASTOS!$W$128</definedName>
    <definedName name="saldoset">GASTOS!$U$128</definedName>
    <definedName name="Z_7968DD20_63CB_4265_B979_BFF7124CEC21_.wvu.FilterData" localSheetId="0" hidden="1">'PROVENTOS&amp;DESCONTOS'!$B$1:$G$246</definedName>
  </definedNames>
  <calcPr calcId="179017"/>
  <customWorkbookViews>
    <customWorkbookView name="P" guid="{7968DD20-63CB-4265-B979-BFF7124CEC21}" maximized="1" xWindow="1" yWindow="1" windowWidth="1276" windowHeight="581" activeSheetId="12"/>
  </customWorkbookViews>
  <pivotCaches>
    <pivotCache cacheId="0" r:id="rId9"/>
  </pivotCaches>
</workbook>
</file>

<file path=xl/calcChain.xml><?xml version="1.0" encoding="utf-8"?>
<calcChain xmlns="http://schemas.openxmlformats.org/spreadsheetml/2006/main">
  <c r="C20" i="10" l="1"/>
  <c r="W7" i="11" l="1"/>
  <c r="J9" i="11"/>
  <c r="J10" i="11"/>
  <c r="K7" i="11"/>
  <c r="K8" i="11"/>
  <c r="J7" i="11"/>
  <c r="J8" i="11"/>
  <c r="H7" i="11"/>
  <c r="H8" i="11"/>
  <c r="H9" i="11"/>
  <c r="Z57" i="10"/>
  <c r="Z29" i="10"/>
  <c r="Z68" i="10"/>
  <c r="Z16" i="10"/>
  <c r="Z24" i="10"/>
  <c r="Z54" i="10"/>
  <c r="Z50" i="10"/>
  <c r="Z44" i="10"/>
  <c r="Z39" i="10"/>
  <c r="Z55" i="10"/>
  <c r="Z22" i="10"/>
  <c r="Z28" i="10"/>
  <c r="Z46" i="10"/>
  <c r="Z64" i="10"/>
  <c r="Z37" i="10"/>
  <c r="Z48" i="10"/>
  <c r="Z62" i="10"/>
  <c r="Z41" i="10"/>
  <c r="Z47" i="10"/>
  <c r="Z49" i="10"/>
  <c r="Z53" i="10"/>
  <c r="Z40" i="10"/>
  <c r="Z59" i="10"/>
  <c r="Z67" i="10"/>
  <c r="Z42" i="10"/>
  <c r="Z60" i="10"/>
  <c r="Z65" i="10"/>
  <c r="Z27" i="10"/>
  <c r="Z63" i="10"/>
  <c r="Z43" i="10"/>
  <c r="Z51" i="10"/>
  <c r="Z18" i="10"/>
  <c r="Z23" i="10"/>
  <c r="Z25" i="10"/>
  <c r="Z52" i="10"/>
  <c r="Z56" i="10"/>
  <c r="Z32" i="10"/>
  <c r="Z58" i="10"/>
  <c r="Z66" i="10"/>
  <c r="Z26" i="10"/>
  <c r="Z38" i="10"/>
  <c r="Z21" i="10"/>
  <c r="Z33" i="10"/>
  <c r="Z35" i="10"/>
  <c r="Z34" i="10"/>
  <c r="Z30" i="10"/>
  <c r="Z17" i="10"/>
  <c r="Z15" i="10"/>
  <c r="Z19" i="10"/>
  <c r="Z31" i="10"/>
  <c r="Z20" i="10"/>
  <c r="Z45" i="10"/>
  <c r="Z61" i="10"/>
  <c r="I8" i="11" l="1"/>
  <c r="I9" i="11"/>
  <c r="H10" i="11"/>
  <c r="I10" i="11"/>
  <c r="H11" i="11"/>
  <c r="I11" i="11"/>
  <c r="J11" i="11"/>
  <c r="H12" i="11"/>
  <c r="I12" i="11"/>
  <c r="J12" i="11"/>
  <c r="H13" i="11"/>
  <c r="I13" i="11"/>
  <c r="J13" i="11"/>
  <c r="H14" i="11"/>
  <c r="I14" i="11"/>
  <c r="J14" i="11"/>
  <c r="H15" i="11"/>
  <c r="I15" i="11"/>
  <c r="J15" i="11"/>
  <c r="H16" i="11"/>
  <c r="I16" i="11"/>
  <c r="J16" i="11"/>
  <c r="H17" i="11"/>
  <c r="I17" i="11"/>
  <c r="J17" i="11"/>
  <c r="H18" i="11"/>
  <c r="I18" i="11"/>
  <c r="J18" i="11"/>
  <c r="O8" i="11"/>
  <c r="P17" i="42" l="1"/>
  <c r="AS9" i="66" s="1"/>
  <c r="G13" i="11" l="1"/>
  <c r="AS8" i="66" s="1"/>
  <c r="J18" i="42" l="1"/>
  <c r="H18" i="42" l="1"/>
  <c r="F17" i="42" l="1"/>
  <c r="H14" i="10"/>
  <c r="H52" i="10"/>
  <c r="H36" i="10" s="1"/>
  <c r="C16" i="10" l="1"/>
  <c r="C17" i="10"/>
  <c r="C18" i="10"/>
  <c r="C19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F18" i="42" l="1"/>
  <c r="L18" i="42"/>
  <c r="L4" i="96" l="1"/>
  <c r="E4" i="96"/>
  <c r="L3" i="96"/>
  <c r="L2" i="96"/>
  <c r="D96" i="10"/>
  <c r="V71" i="10"/>
  <c r="Y43" i="43"/>
  <c r="K77" i="10"/>
  <c r="T98" i="10"/>
  <c r="V106" i="10"/>
  <c r="K12" i="43"/>
  <c r="K27" i="43"/>
  <c r="K84" i="10"/>
  <c r="Q24" i="43"/>
  <c r="L87" i="10"/>
  <c r="G28" i="43"/>
  <c r="Z72" i="10"/>
  <c r="Y51" i="43"/>
  <c r="Z82" i="10"/>
  <c r="Y41" i="43"/>
  <c r="X75" i="10"/>
  <c r="G45" i="43"/>
  <c r="AA54" i="10"/>
  <c r="W120" i="10"/>
  <c r="O55" i="10"/>
  <c r="Y35" i="10"/>
  <c r="G43" i="43"/>
  <c r="K44" i="10"/>
  <c r="Y46" i="10"/>
  <c r="F108" i="10"/>
  <c r="F80" i="10"/>
  <c r="Q19" i="10"/>
  <c r="Q99" i="10"/>
  <c r="R116" i="10"/>
  <c r="Y40" i="10"/>
  <c r="M92" i="10"/>
  <c r="AA24" i="10"/>
  <c r="Q122" i="10"/>
  <c r="R84" i="10"/>
  <c r="S54" i="10"/>
  <c r="L80" i="10"/>
  <c r="Y77" i="10"/>
  <c r="G116" i="10"/>
  <c r="S49" i="10"/>
  <c r="AA52" i="43"/>
  <c r="Q42" i="10"/>
  <c r="Y106" i="10"/>
  <c r="Q54" i="43"/>
  <c r="Y63" i="10"/>
  <c r="W81" i="10"/>
  <c r="E114" i="10"/>
  <c r="F70" i="10"/>
  <c r="R91" i="10"/>
  <c r="K117" i="10"/>
  <c r="D88" i="10"/>
  <c r="G66" i="10"/>
  <c r="M111" i="10"/>
  <c r="S51" i="10"/>
  <c r="S101" i="10"/>
  <c r="M7" i="43"/>
  <c r="I103" i="10"/>
  <c r="T91" i="10"/>
  <c r="M120" i="10"/>
  <c r="I16" i="43"/>
  <c r="H77" i="10"/>
  <c r="I86" i="10"/>
  <c r="U84" i="10"/>
  <c r="G58" i="10"/>
  <c r="AA15" i="10"/>
  <c r="Q86" i="10"/>
  <c r="U95" i="10"/>
  <c r="W27" i="10"/>
  <c r="P72" i="10"/>
  <c r="U41" i="43"/>
  <c r="Y81" i="10"/>
  <c r="AC13" i="43"/>
  <c r="L82" i="10"/>
  <c r="K118" i="10"/>
  <c r="K72" i="10"/>
  <c r="E41" i="10"/>
  <c r="Y61" i="10"/>
  <c r="W38" i="10"/>
  <c r="O31" i="10"/>
  <c r="AC41" i="43"/>
  <c r="Y48" i="10"/>
  <c r="M73" i="10"/>
  <c r="T112" i="10"/>
  <c r="AA120" i="10"/>
  <c r="Q58" i="10"/>
  <c r="U109" i="10"/>
  <c r="K48" i="10"/>
  <c r="O42" i="10"/>
  <c r="U27" i="10"/>
  <c r="AA23" i="10"/>
  <c r="I96" i="10"/>
  <c r="D79" i="10"/>
  <c r="L112" i="10"/>
  <c r="AA70" i="10"/>
  <c r="D76" i="10"/>
  <c r="E62" i="10"/>
  <c r="O44" i="10"/>
  <c r="AA84" i="10"/>
  <c r="N107" i="10"/>
  <c r="G46" i="43"/>
  <c r="G73" i="10"/>
  <c r="K65" i="10"/>
  <c r="I106" i="10"/>
  <c r="S121" i="10"/>
  <c r="Q117" i="10"/>
  <c r="T115" i="10"/>
  <c r="E113" i="10"/>
  <c r="J77" i="10"/>
  <c r="O63" i="10"/>
  <c r="AC29" i="43"/>
  <c r="Y87" i="10"/>
  <c r="U15" i="43"/>
  <c r="Y89" i="10"/>
  <c r="Y108" i="10"/>
  <c r="H100" i="10"/>
  <c r="I100" i="10"/>
  <c r="T81" i="10"/>
  <c r="K7" i="43"/>
  <c r="M106" i="10"/>
  <c r="F97" i="10"/>
  <c r="S108" i="10"/>
  <c r="W76" i="10"/>
  <c r="M17" i="43"/>
  <c r="Z115" i="10"/>
  <c r="Y13" i="43"/>
  <c r="AA18" i="10"/>
  <c r="Y16" i="43"/>
  <c r="U34" i="43"/>
  <c r="O38" i="43"/>
  <c r="V100" i="10"/>
  <c r="AA56" i="10"/>
  <c r="Q108" i="10"/>
  <c r="AA30" i="43"/>
  <c r="O87" i="10"/>
  <c r="Q39" i="43"/>
  <c r="E53" i="10"/>
  <c r="I21" i="10"/>
  <c r="Q57" i="10"/>
  <c r="W15" i="43"/>
  <c r="U50" i="10"/>
  <c r="Z81" i="10"/>
  <c r="E82" i="10"/>
  <c r="J85" i="10"/>
  <c r="Q22" i="43"/>
  <c r="Y41" i="10"/>
  <c r="AC19" i="43"/>
  <c r="K79" i="10"/>
  <c r="AA49" i="10"/>
  <c r="X73" i="10"/>
  <c r="S88" i="10"/>
  <c r="Y29" i="43"/>
  <c r="P90" i="10"/>
  <c r="R81" i="10"/>
  <c r="X119" i="10"/>
  <c r="O51" i="10"/>
  <c r="K14" i="43"/>
  <c r="R110" i="10"/>
  <c r="U121" i="10"/>
  <c r="Y99" i="10"/>
  <c r="AA34" i="10"/>
  <c r="Q60" i="10"/>
  <c r="S122" i="10"/>
  <c r="K11" i="43"/>
  <c r="AA80" i="10"/>
  <c r="E39" i="10"/>
  <c r="O7" i="43"/>
  <c r="I94" i="10"/>
  <c r="M78" i="10"/>
  <c r="I28" i="43"/>
  <c r="N84" i="10"/>
  <c r="I76" i="10"/>
  <c r="G107" i="10"/>
  <c r="Q11" i="43"/>
  <c r="Y33" i="43"/>
  <c r="O16" i="10"/>
  <c r="V80" i="10"/>
  <c r="K24" i="43"/>
  <c r="Y38" i="43"/>
  <c r="AC51" i="43"/>
  <c r="F76" i="10"/>
  <c r="R120" i="10"/>
  <c r="AA93" i="10"/>
  <c r="W12" i="43"/>
  <c r="S114" i="10"/>
  <c r="O64" i="10"/>
  <c r="H105" i="10"/>
  <c r="AC54" i="43"/>
  <c r="Q40" i="10"/>
  <c r="W24" i="10"/>
  <c r="U114" i="10"/>
  <c r="S90" i="10"/>
  <c r="M100" i="10"/>
  <c r="Q45" i="43"/>
  <c r="H116" i="10"/>
  <c r="H121" i="10"/>
  <c r="G39" i="10"/>
  <c r="P98" i="10"/>
  <c r="AC17" i="43"/>
  <c r="S24" i="43"/>
  <c r="K26" i="10"/>
  <c r="AC23" i="43"/>
  <c r="U50" i="43"/>
  <c r="O91" i="10"/>
  <c r="D77" i="10"/>
  <c r="I51" i="43"/>
  <c r="K106" i="10"/>
  <c r="U35" i="10"/>
  <c r="V70" i="10"/>
  <c r="U42" i="10"/>
  <c r="N105" i="10"/>
  <c r="AA29" i="10"/>
  <c r="D121" i="10"/>
  <c r="U18" i="10"/>
  <c r="S43" i="10"/>
  <c r="W22" i="43"/>
  <c r="J90" i="10"/>
  <c r="I41" i="10"/>
  <c r="Y43" i="10"/>
  <c r="W44" i="43"/>
  <c r="I42" i="10"/>
  <c r="G120" i="10"/>
  <c r="P75" i="10"/>
  <c r="S100" i="10"/>
  <c r="E122" i="10"/>
  <c r="O50" i="10"/>
  <c r="AC15" i="43"/>
  <c r="V73" i="10"/>
  <c r="AA112" i="10"/>
  <c r="AC20" i="43"/>
  <c r="F115" i="10"/>
  <c r="U64" i="10"/>
  <c r="H87" i="10"/>
  <c r="G110" i="10"/>
  <c r="G42" i="10"/>
  <c r="S76" i="10"/>
  <c r="S102" i="10"/>
  <c r="AA88" i="10"/>
  <c r="U43" i="43"/>
  <c r="E51" i="10"/>
  <c r="P122" i="10"/>
  <c r="V105" i="10"/>
  <c r="L122" i="10"/>
  <c r="K57" i="10"/>
  <c r="S31" i="43"/>
  <c r="K90" i="10"/>
  <c r="I95" i="10"/>
  <c r="Y26" i="10"/>
  <c r="H112" i="10"/>
  <c r="U52" i="10"/>
  <c r="Z111" i="10"/>
  <c r="L100" i="10"/>
  <c r="D72" i="10"/>
  <c r="M29" i="10"/>
  <c r="K30" i="43"/>
  <c r="E38" i="10"/>
  <c r="I20" i="43"/>
  <c r="I45" i="10"/>
  <c r="G18" i="43"/>
  <c r="N109" i="10"/>
  <c r="W33" i="10"/>
  <c r="Q42" i="43"/>
  <c r="G23" i="43"/>
  <c r="S60" i="10"/>
  <c r="M4" i="43"/>
  <c r="O30" i="10"/>
  <c r="I53" i="43"/>
  <c r="Z73" i="10"/>
  <c r="F77" i="10"/>
  <c r="K91" i="10"/>
  <c r="H74" i="10"/>
  <c r="U20" i="43"/>
  <c r="I90" i="10"/>
  <c r="K52" i="43"/>
  <c r="AA79" i="10"/>
  <c r="F91" i="10"/>
  <c r="M93" i="10"/>
  <c r="L109" i="10"/>
  <c r="W87" i="10"/>
  <c r="G13" i="43"/>
  <c r="O100" i="10"/>
  <c r="S111" i="10"/>
  <c r="Q19" i="43"/>
  <c r="U36" i="43"/>
  <c r="Y35" i="43"/>
  <c r="Z103" i="10"/>
  <c r="L114" i="10"/>
  <c r="P83" i="10"/>
  <c r="Q21" i="10"/>
  <c r="G84" i="10"/>
  <c r="R117" i="10"/>
  <c r="AA95" i="10"/>
  <c r="AA47" i="10"/>
  <c r="G25" i="43"/>
  <c r="V93" i="10"/>
  <c r="S64" i="10"/>
  <c r="Q111" i="10"/>
  <c r="AC4" i="43"/>
  <c r="O14" i="43"/>
  <c r="S65" i="10"/>
  <c r="P113" i="10"/>
  <c r="K115" i="10"/>
  <c r="AC33" i="43"/>
  <c r="AA99" i="10"/>
  <c r="G61" i="10"/>
  <c r="X102" i="10"/>
  <c r="X113" i="10"/>
  <c r="U55" i="43"/>
  <c r="K46" i="10"/>
  <c r="AA78" i="10"/>
  <c r="X79" i="10"/>
  <c r="I40" i="10"/>
  <c r="O37" i="10"/>
  <c r="P89" i="10"/>
  <c r="R97" i="10"/>
  <c r="T76" i="10"/>
  <c r="I102" i="10"/>
  <c r="G49" i="10"/>
  <c r="F79" i="10"/>
  <c r="Y64" i="10"/>
  <c r="S33" i="10"/>
  <c r="G78" i="10"/>
  <c r="Z106" i="10"/>
  <c r="AA27" i="10"/>
  <c r="Q88" i="10"/>
  <c r="O56" i="10"/>
  <c r="J109" i="10"/>
  <c r="I50" i="10"/>
  <c r="Y34" i="43"/>
  <c r="P99" i="10"/>
  <c r="S27" i="43"/>
  <c r="G103" i="10"/>
  <c r="K107" i="10"/>
  <c r="Y19" i="10"/>
  <c r="Y19" i="43"/>
  <c r="V113" i="10"/>
  <c r="S98" i="10"/>
  <c r="I38" i="10"/>
  <c r="Q45" i="10"/>
  <c r="G46" i="10"/>
  <c r="O119" i="10"/>
  <c r="D81" i="10"/>
  <c r="W40" i="10"/>
  <c r="W36" i="43"/>
  <c r="M19" i="10"/>
  <c r="F105" i="10"/>
  <c r="O38" i="10"/>
  <c r="X114" i="10"/>
  <c r="AA7" i="43"/>
  <c r="W38" i="43"/>
  <c r="P104" i="10"/>
  <c r="S81" i="10"/>
  <c r="W41" i="10"/>
  <c r="P91" i="10"/>
  <c r="U115" i="10"/>
  <c r="Q110" i="10"/>
  <c r="L111" i="10"/>
  <c r="O4" i="43"/>
  <c r="D122" i="10"/>
  <c r="O54" i="10"/>
  <c r="X109" i="10"/>
  <c r="J71" i="10"/>
  <c r="W80" i="10"/>
  <c r="E119" i="10"/>
  <c r="AA21" i="43"/>
  <c r="I119" i="10"/>
  <c r="S22" i="43"/>
  <c r="M76" i="10"/>
  <c r="K43" i="10"/>
  <c r="W51" i="43"/>
  <c r="H72" i="10"/>
  <c r="Q30" i="10"/>
  <c r="I121" i="10"/>
  <c r="U62" i="10"/>
  <c r="Z113" i="10"/>
  <c r="O53" i="43"/>
  <c r="Y15" i="43"/>
  <c r="M114" i="10"/>
  <c r="F87" i="10"/>
  <c r="T73" i="10"/>
  <c r="O57" i="10"/>
  <c r="Q79" i="10"/>
  <c r="T70" i="10"/>
  <c r="S73" i="10"/>
  <c r="I105" i="10"/>
  <c r="M34" i="10"/>
  <c r="AC25" i="43"/>
  <c r="AA31" i="10"/>
  <c r="S38" i="43"/>
  <c r="Q25" i="43"/>
  <c r="L119" i="10"/>
  <c r="M104" i="10"/>
  <c r="D93" i="10"/>
  <c r="I67" i="10"/>
  <c r="G68" i="10"/>
  <c r="K51" i="43"/>
  <c r="S20" i="43"/>
  <c r="E97" i="10"/>
  <c r="F89" i="10"/>
  <c r="O9" i="43"/>
  <c r="AA68" i="10"/>
  <c r="W46" i="10"/>
  <c r="H118" i="10"/>
  <c r="E63" i="10"/>
  <c r="Z84" i="10"/>
  <c r="E93" i="10"/>
  <c r="G55" i="43"/>
  <c r="V97" i="10"/>
  <c r="Q15" i="43"/>
  <c r="I84" i="10"/>
  <c r="U41" i="10"/>
  <c r="P78" i="10"/>
  <c r="Z85" i="10"/>
  <c r="G17" i="43"/>
  <c r="Y27" i="10"/>
  <c r="Y94" i="10"/>
  <c r="R112" i="10"/>
  <c r="U111" i="10"/>
  <c r="AA53" i="43"/>
  <c r="S15" i="10"/>
  <c r="M117" i="10"/>
  <c r="M63" i="10"/>
  <c r="D97" i="10"/>
  <c r="L86" i="10"/>
  <c r="G49" i="43"/>
  <c r="Q76" i="10"/>
  <c r="J73" i="10"/>
  <c r="Y28" i="10"/>
  <c r="K38" i="10"/>
  <c r="F119" i="10"/>
  <c r="T88" i="10"/>
  <c r="W43" i="43"/>
  <c r="G95" i="10"/>
  <c r="AA103" i="10"/>
  <c r="Y21" i="10"/>
  <c r="G67" i="10"/>
  <c r="M71" i="10"/>
  <c r="Y50" i="10"/>
  <c r="Q106" i="10"/>
  <c r="T83" i="10"/>
  <c r="X106" i="10"/>
  <c r="R111" i="10"/>
  <c r="L79" i="10"/>
  <c r="O41" i="10"/>
  <c r="U60" i="10"/>
  <c r="AA44" i="10"/>
  <c r="O84" i="10"/>
  <c r="U39" i="43"/>
  <c r="U122" i="10"/>
  <c r="O18" i="43"/>
  <c r="Q55" i="43"/>
  <c r="S110" i="10"/>
  <c r="W52" i="10"/>
  <c r="W91" i="10"/>
  <c r="K31" i="10"/>
  <c r="F112" i="10"/>
  <c r="K92" i="10"/>
  <c r="I78" i="10"/>
  <c r="N115" i="10"/>
  <c r="W23" i="10"/>
  <c r="N102" i="10"/>
  <c r="Q6" i="43"/>
  <c r="G12" i="43"/>
  <c r="J115" i="10"/>
  <c r="T94" i="10"/>
  <c r="L92" i="10"/>
  <c r="U55" i="10"/>
  <c r="U17" i="10"/>
  <c r="X84" i="10"/>
  <c r="K103" i="10"/>
  <c r="I44" i="10"/>
  <c r="D113" i="10"/>
  <c r="X70" i="10"/>
  <c r="Q51" i="43"/>
  <c r="U24" i="10"/>
  <c r="D108" i="10"/>
  <c r="S80" i="10"/>
  <c r="S117" i="10"/>
  <c r="W52" i="43"/>
  <c r="Q61" i="10"/>
  <c r="AA115" i="10"/>
  <c r="S17" i="10"/>
  <c r="K33" i="10"/>
  <c r="U9" i="43"/>
  <c r="P108" i="10"/>
  <c r="W50" i="43"/>
  <c r="Q100" i="10"/>
  <c r="K24" i="10"/>
  <c r="O28" i="10"/>
  <c r="I15" i="43"/>
  <c r="S48" i="43"/>
  <c r="O99" i="10"/>
  <c r="K70" i="10"/>
  <c r="Y53" i="43"/>
  <c r="K111" i="10"/>
  <c r="U19" i="10"/>
  <c r="W19" i="10"/>
  <c r="I108" i="10"/>
  <c r="O5" i="43"/>
  <c r="AA116" i="10"/>
  <c r="G93" i="10"/>
  <c r="F71" i="10"/>
  <c r="Y79" i="10"/>
  <c r="N77" i="10"/>
  <c r="Q8" i="43"/>
  <c r="J117" i="10"/>
  <c r="O52" i="43"/>
  <c r="T117" i="10"/>
  <c r="Q14" i="43"/>
  <c r="G102" i="10"/>
  <c r="L83" i="10"/>
  <c r="M88" i="10"/>
  <c r="O46" i="43"/>
  <c r="W111" i="10"/>
  <c r="H120" i="10"/>
  <c r="Y39" i="10"/>
  <c r="G115" i="10"/>
  <c r="M85" i="10"/>
  <c r="I72" i="10"/>
  <c r="S51" i="43"/>
  <c r="Y73" i="10"/>
  <c r="G9" i="43"/>
  <c r="K85" i="10"/>
  <c r="Z78" i="10"/>
  <c r="E52" i="10"/>
  <c r="W29" i="10"/>
  <c r="J114" i="10"/>
  <c r="E84" i="10"/>
  <c r="V76" i="10"/>
  <c r="R82" i="10"/>
  <c r="Y7" i="43"/>
  <c r="G31" i="43"/>
  <c r="K50" i="43"/>
  <c r="W28" i="43"/>
  <c r="AC26" i="43"/>
  <c r="S109" i="10"/>
  <c r="G30" i="43"/>
  <c r="N120" i="10"/>
  <c r="Q105" i="10"/>
  <c r="N104" i="10"/>
  <c r="G44" i="10"/>
  <c r="I114" i="10"/>
  <c r="R99" i="10"/>
  <c r="O35" i="10"/>
  <c r="K28" i="43"/>
  <c r="M121" i="10"/>
  <c r="S29" i="10"/>
  <c r="G50" i="43"/>
  <c r="M118" i="10"/>
  <c r="O59" i="10"/>
  <c r="X104" i="10"/>
  <c r="O33" i="43"/>
  <c r="G108" i="10"/>
  <c r="L84" i="10"/>
  <c r="M51" i="10"/>
  <c r="V87" i="10"/>
  <c r="AA35" i="43"/>
  <c r="V108" i="10"/>
  <c r="S16" i="10"/>
  <c r="X76" i="10"/>
  <c r="W47" i="10"/>
  <c r="M96" i="10"/>
  <c r="P95" i="10"/>
  <c r="Z91" i="10"/>
  <c r="R85" i="10"/>
  <c r="Q95" i="10"/>
  <c r="I32" i="43"/>
  <c r="L105" i="10"/>
  <c r="AA5" i="43"/>
  <c r="Q50" i="10"/>
  <c r="AA98" i="10"/>
  <c r="T111" i="10"/>
  <c r="U49" i="43"/>
  <c r="L90" i="10"/>
  <c r="O23" i="10"/>
  <c r="W14" i="43"/>
  <c r="O24" i="10"/>
  <c r="Q50" i="43"/>
  <c r="G82" i="10"/>
  <c r="W15" i="10"/>
  <c r="I46" i="43"/>
  <c r="S97" i="10"/>
  <c r="AC12" i="43"/>
  <c r="P76" i="10"/>
  <c r="S63" i="10"/>
  <c r="X112" i="10"/>
  <c r="D120" i="10"/>
  <c r="G39" i="43"/>
  <c r="N82" i="10"/>
  <c r="F114" i="10"/>
  <c r="X83" i="10"/>
  <c r="M95" i="10"/>
  <c r="Q47" i="43"/>
  <c r="W93" i="10"/>
  <c r="S42" i="43"/>
  <c r="I19" i="10"/>
  <c r="U8" i="43"/>
  <c r="W112" i="10"/>
  <c r="Z83" i="10"/>
  <c r="Z99" i="10"/>
  <c r="I118" i="10"/>
  <c r="V99" i="10"/>
  <c r="U74" i="10"/>
  <c r="P105" i="10"/>
  <c r="S45" i="10"/>
  <c r="U16" i="10"/>
  <c r="X93" i="10"/>
  <c r="H117" i="10"/>
  <c r="K53" i="43"/>
  <c r="I40" i="43"/>
  <c r="X77" i="10"/>
  <c r="D105" i="10"/>
  <c r="M35" i="43"/>
  <c r="O26" i="10"/>
  <c r="Q56" i="10"/>
  <c r="S18" i="10"/>
  <c r="W98" i="10"/>
  <c r="U43" i="10"/>
  <c r="K93" i="10"/>
  <c r="AA105" i="10"/>
  <c r="R121" i="10"/>
  <c r="L103" i="10"/>
  <c r="V88" i="10"/>
  <c r="M45" i="10"/>
  <c r="Z97" i="10"/>
  <c r="J96" i="10"/>
  <c r="Q78" i="10"/>
  <c r="L117" i="10"/>
  <c r="U56" i="10"/>
  <c r="Y53" i="10"/>
  <c r="T105" i="10"/>
  <c r="I26" i="10"/>
  <c r="E47" i="10"/>
  <c r="T114" i="10"/>
  <c r="T106" i="10"/>
  <c r="AA25" i="43"/>
  <c r="I52" i="10"/>
  <c r="D78" i="10"/>
  <c r="AC24" i="43"/>
  <c r="Y51" i="10"/>
  <c r="R73" i="10"/>
  <c r="AA6" i="43"/>
  <c r="Y33" i="10"/>
  <c r="K22" i="10"/>
  <c r="S115" i="10"/>
  <c r="O82" i="10"/>
  <c r="O19" i="43"/>
  <c r="U15" i="10"/>
  <c r="V104" i="10"/>
  <c r="X80" i="10"/>
  <c r="O11" i="43"/>
  <c r="J121" i="10"/>
  <c r="I54" i="43"/>
  <c r="N97" i="10"/>
  <c r="Y100" i="10"/>
  <c r="U46" i="43"/>
  <c r="Q16" i="10"/>
  <c r="Z112" i="10"/>
  <c r="L110" i="10"/>
  <c r="AC49" i="43"/>
  <c r="D104" i="10"/>
  <c r="AA53" i="10"/>
  <c r="M47" i="43"/>
  <c r="AA20" i="10"/>
  <c r="AA35" i="10"/>
  <c r="W75" i="10"/>
  <c r="M47" i="10"/>
  <c r="S36" i="43"/>
  <c r="I77" i="10"/>
  <c r="AA117" i="10"/>
  <c r="F84" i="10"/>
  <c r="N94" i="10"/>
  <c r="R87" i="10"/>
  <c r="W61" i="10"/>
  <c r="Q37" i="43"/>
  <c r="S94" i="10"/>
  <c r="S116" i="10"/>
  <c r="G117" i="10"/>
  <c r="W67" i="10"/>
  <c r="U29" i="43"/>
  <c r="M19" i="43"/>
  <c r="S70" i="10"/>
  <c r="Q46" i="43"/>
  <c r="S7" i="43"/>
  <c r="S27" i="10"/>
  <c r="N95" i="10"/>
  <c r="X72" i="10"/>
  <c r="K8" i="43"/>
  <c r="AA19" i="43"/>
  <c r="P88" i="10"/>
  <c r="K34" i="10"/>
  <c r="M70" i="10"/>
  <c r="K52" i="10"/>
  <c r="AC53" i="43"/>
  <c r="J80" i="10"/>
  <c r="I34" i="10"/>
  <c r="O26" i="43"/>
  <c r="G55" i="10"/>
  <c r="O86" i="10"/>
  <c r="I38" i="43"/>
  <c r="I33" i="43"/>
  <c r="Q33" i="10"/>
  <c r="X99" i="10"/>
  <c r="S40" i="43"/>
  <c r="O21" i="43"/>
  <c r="AC39" i="43"/>
  <c r="AA91" i="10"/>
  <c r="Q116" i="10"/>
  <c r="S96" i="10"/>
  <c r="AA30" i="10"/>
  <c r="E60" i="10"/>
  <c r="AA17" i="10"/>
  <c r="I8" i="43"/>
  <c r="T102" i="10"/>
  <c r="AA14" i="43"/>
  <c r="M40" i="43"/>
  <c r="E100" i="10"/>
  <c r="M16" i="10"/>
  <c r="H86" i="10"/>
  <c r="L107" i="10"/>
  <c r="AC31" i="43"/>
  <c r="U81" i="10"/>
  <c r="W4" i="43"/>
  <c r="G50" i="10"/>
  <c r="AA60" i="10"/>
  <c r="J112" i="10"/>
  <c r="H83" i="10"/>
  <c r="I81" i="10"/>
  <c r="AA59" i="10"/>
  <c r="Y62" i="10"/>
  <c r="N79" i="10"/>
  <c r="U112" i="10"/>
  <c r="R105" i="10"/>
  <c r="E101" i="10"/>
  <c r="I47" i="43"/>
  <c r="S32" i="10"/>
  <c r="G40" i="10"/>
  <c r="K15" i="10"/>
  <c r="M25" i="10"/>
  <c r="D98" i="10"/>
  <c r="Q22" i="10"/>
  <c r="M10" i="43"/>
  <c r="K56" i="10"/>
  <c r="I29" i="43"/>
  <c r="K18" i="10"/>
  <c r="G11" i="43"/>
  <c r="W53" i="10"/>
  <c r="W26" i="43"/>
  <c r="W39" i="43"/>
  <c r="H109" i="10"/>
  <c r="P101" i="10"/>
  <c r="N116" i="10"/>
  <c r="O79" i="10"/>
  <c r="S31" i="10"/>
  <c r="AA122" i="10"/>
  <c r="AC52" i="43"/>
  <c r="D82" i="10"/>
  <c r="E76" i="10"/>
  <c r="O101" i="10"/>
  <c r="Y20" i="10"/>
  <c r="Z70" i="10"/>
  <c r="AA89" i="10"/>
  <c r="S20" i="10"/>
  <c r="O34" i="10"/>
  <c r="S55" i="43"/>
  <c r="Q71" i="10"/>
  <c r="L81" i="10"/>
  <c r="I42" i="43"/>
  <c r="E48" i="10"/>
  <c r="X85" i="10"/>
  <c r="K105" i="10"/>
  <c r="AA21" i="10"/>
  <c r="X120" i="10"/>
  <c r="V72" i="10"/>
  <c r="W114" i="10"/>
  <c r="N81" i="10"/>
  <c r="Q98" i="10"/>
  <c r="Y66" i="10"/>
  <c r="F102" i="10"/>
  <c r="O50" i="43"/>
  <c r="U23" i="10"/>
  <c r="Y14" i="43"/>
  <c r="S6" i="43"/>
  <c r="AA46" i="10"/>
  <c r="AA67" i="10"/>
  <c r="AC18" i="43"/>
  <c r="U78" i="10"/>
  <c r="U58" i="10"/>
  <c r="V77" i="10"/>
  <c r="W89" i="10"/>
  <c r="Y27" i="43"/>
  <c r="Q26" i="43"/>
  <c r="G15" i="43"/>
  <c r="H73" i="10"/>
  <c r="W103" i="10"/>
  <c r="G7" i="43"/>
  <c r="S52" i="10"/>
  <c r="D103" i="10"/>
  <c r="AA26" i="43"/>
  <c r="M107" i="10"/>
  <c r="E67" i="10"/>
  <c r="Z80" i="10"/>
  <c r="I31" i="43"/>
  <c r="S56" i="10"/>
  <c r="I37" i="10"/>
  <c r="N71" i="10"/>
  <c r="W105" i="10"/>
  <c r="X111" i="10"/>
  <c r="Q70" i="10"/>
  <c r="Q44" i="10"/>
  <c r="M82" i="10"/>
  <c r="S49" i="43"/>
  <c r="W94" i="10"/>
  <c r="K83" i="10"/>
  <c r="K37" i="43"/>
  <c r="Y92" i="10"/>
  <c r="R119" i="10"/>
  <c r="AA15" i="43"/>
  <c r="AA50" i="10"/>
  <c r="Q5" i="43"/>
  <c r="K120" i="10"/>
  <c r="H113" i="10"/>
  <c r="Y97" i="10"/>
  <c r="J118" i="10"/>
  <c r="G8" i="43"/>
  <c r="H79" i="10"/>
  <c r="R95" i="10"/>
  <c r="M41" i="43"/>
  <c r="F110" i="10"/>
  <c r="U79" i="10"/>
  <c r="M50" i="10"/>
  <c r="D106" i="10"/>
  <c r="O39" i="10"/>
  <c r="I48" i="10"/>
  <c r="W48" i="10"/>
  <c r="M27" i="43"/>
  <c r="X117" i="10"/>
  <c r="M9" i="43"/>
  <c r="U83" i="10"/>
  <c r="W29" i="43"/>
  <c r="I56" i="10"/>
  <c r="Y82" i="10"/>
  <c r="H95" i="10"/>
  <c r="L115" i="10"/>
  <c r="Z107" i="10"/>
  <c r="S79" i="10"/>
  <c r="O25" i="10"/>
  <c r="Q53" i="43"/>
  <c r="G79" i="10"/>
  <c r="AA75" i="10"/>
  <c r="K104" i="10"/>
  <c r="E78" i="10"/>
  <c r="X91" i="10"/>
  <c r="D85" i="10"/>
  <c r="W44" i="10"/>
  <c r="Q80" i="10"/>
  <c r="R108" i="10"/>
  <c r="J103" i="10"/>
  <c r="R89" i="10"/>
  <c r="AA71" i="10"/>
  <c r="I12" i="43"/>
  <c r="N101" i="10"/>
  <c r="X107" i="10"/>
  <c r="E57" i="10"/>
  <c r="I63" i="10"/>
  <c r="I35" i="10"/>
  <c r="V82" i="10"/>
  <c r="V102" i="10"/>
  <c r="I17" i="43"/>
  <c r="U20" i="10"/>
  <c r="Q87" i="10"/>
  <c r="AC11" i="43"/>
  <c r="I53" i="10"/>
  <c r="F117" i="10"/>
  <c r="U96" i="10"/>
  <c r="J78" i="10"/>
  <c r="E77" i="10"/>
  <c r="Q48" i="43"/>
  <c r="Y102" i="10"/>
  <c r="W46" i="43"/>
  <c r="W27" i="43"/>
  <c r="K108" i="10"/>
  <c r="I32" i="10"/>
  <c r="H94" i="10"/>
  <c r="Y18" i="43"/>
  <c r="W9" i="43"/>
  <c r="W90" i="10"/>
  <c r="Y118" i="10"/>
  <c r="S91" i="10"/>
  <c r="V122" i="10"/>
  <c r="S112" i="10"/>
  <c r="L73" i="10"/>
  <c r="M33" i="43"/>
  <c r="E71" i="10"/>
  <c r="S55" i="10"/>
  <c r="K78" i="10"/>
  <c r="I88" i="10"/>
  <c r="E98" i="10"/>
  <c r="K121" i="10"/>
  <c r="P107" i="10"/>
  <c r="AA13" i="43"/>
  <c r="Y70" i="10"/>
  <c r="K58" i="10"/>
  <c r="V79" i="10"/>
  <c r="Y25" i="10"/>
  <c r="J100" i="10"/>
  <c r="AA9" i="43"/>
  <c r="S77" i="10"/>
  <c r="U107" i="10"/>
  <c r="I92" i="10"/>
  <c r="AA87" i="10"/>
  <c r="Y59" i="10"/>
  <c r="Y52" i="10"/>
  <c r="Y78" i="10"/>
  <c r="W10" i="43"/>
  <c r="AC36" i="43"/>
  <c r="V84" i="10"/>
  <c r="Q46" i="10"/>
  <c r="Y107" i="10"/>
  <c r="D111" i="10"/>
  <c r="P111" i="10"/>
  <c r="O61" i="10"/>
  <c r="O6" i="43"/>
  <c r="X95" i="10"/>
  <c r="U113" i="10"/>
  <c r="U32" i="43"/>
  <c r="K44" i="43"/>
  <c r="W84" i="10"/>
  <c r="AC30" i="43"/>
  <c r="Q23" i="43"/>
  <c r="N100" i="10"/>
  <c r="U75" i="10"/>
  <c r="Q55" i="10"/>
  <c r="Y36" i="43"/>
  <c r="M44" i="43"/>
  <c r="E96" i="10"/>
  <c r="K34" i="43"/>
  <c r="T89" i="10"/>
  <c r="G34" i="43"/>
  <c r="G33" i="43"/>
  <c r="Z100" i="10"/>
  <c r="AA40" i="10"/>
  <c r="I91" i="10"/>
  <c r="I22" i="43"/>
  <c r="AC38" i="43"/>
  <c r="W73" i="10"/>
  <c r="I115" i="10"/>
  <c r="W34" i="43"/>
  <c r="X121" i="10"/>
  <c r="F95" i="10"/>
  <c r="S4" i="43"/>
  <c r="Q93" i="10"/>
  <c r="N80" i="10"/>
  <c r="U44" i="43"/>
  <c r="S53" i="43"/>
  <c r="G92" i="10"/>
  <c r="M105" i="10"/>
  <c r="J89" i="10"/>
  <c r="Q49" i="43"/>
  <c r="L95" i="10"/>
  <c r="M21" i="10"/>
  <c r="O85" i="10"/>
  <c r="Y49" i="10"/>
  <c r="F82" i="10"/>
  <c r="F81" i="10"/>
  <c r="AA4" i="43"/>
  <c r="W110" i="10"/>
  <c r="U100" i="10"/>
  <c r="Z95" i="10"/>
  <c r="E86" i="10"/>
  <c r="Z96" i="10"/>
  <c r="AA104" i="10"/>
  <c r="O28" i="43"/>
  <c r="K66" i="10"/>
  <c r="M87" i="10"/>
  <c r="L116" i="10"/>
  <c r="U102" i="10"/>
  <c r="K19" i="10"/>
  <c r="M29" i="43"/>
  <c r="E102" i="10"/>
  <c r="V117" i="10"/>
  <c r="W34" i="10"/>
  <c r="Q25" i="10"/>
  <c r="W25" i="10"/>
  <c r="T100" i="10"/>
  <c r="S39" i="10"/>
  <c r="M110" i="10"/>
  <c r="Q101" i="10"/>
  <c r="Q33" i="43"/>
  <c r="O30" i="43"/>
  <c r="Y122" i="10"/>
  <c r="S13" i="43"/>
  <c r="L121" i="10"/>
  <c r="K28" i="10"/>
  <c r="W5" i="43"/>
  <c r="L108" i="10"/>
  <c r="Z92" i="10"/>
  <c r="S30" i="10"/>
  <c r="Q27" i="43"/>
  <c r="V92" i="10"/>
  <c r="H101" i="10"/>
  <c r="U49" i="10"/>
  <c r="K26" i="43"/>
  <c r="Q28" i="10"/>
  <c r="X92" i="10"/>
  <c r="U10" i="43"/>
  <c r="AA20" i="43"/>
  <c r="K17" i="10"/>
  <c r="Y120" i="10"/>
  <c r="T103" i="10"/>
  <c r="U46" i="10"/>
  <c r="AA34" i="43"/>
  <c r="AA52" i="10"/>
  <c r="T118" i="10"/>
  <c r="E15" i="10"/>
  <c r="D92" i="10"/>
  <c r="K47" i="43"/>
  <c r="E85" i="10"/>
  <c r="AC45" i="43"/>
  <c r="S103" i="10"/>
  <c r="Y48" i="43"/>
  <c r="F75" i="10"/>
  <c r="X103" i="10"/>
  <c r="M36" i="43"/>
  <c r="K73" i="10"/>
  <c r="M25" i="43"/>
  <c r="J98" i="10"/>
  <c r="X110" i="10"/>
  <c r="S67" i="10"/>
  <c r="O35" i="43"/>
  <c r="S16" i="43"/>
  <c r="Y116" i="10"/>
  <c r="AA10" i="43"/>
  <c r="R100" i="10"/>
  <c r="G44" i="43"/>
  <c r="T97" i="10"/>
  <c r="X87" i="10"/>
  <c r="J95" i="10"/>
  <c r="W31" i="43"/>
  <c r="Z79" i="10"/>
  <c r="V90" i="10"/>
  <c r="E54" i="10"/>
  <c r="F103" i="10"/>
  <c r="AA92" i="10"/>
  <c r="U87" i="10"/>
  <c r="U63" i="10"/>
  <c r="T90" i="10"/>
  <c r="I55" i="10"/>
  <c r="G87" i="10"/>
  <c r="O58" i="10"/>
  <c r="G45" i="10"/>
  <c r="Z102" i="10"/>
  <c r="F107" i="10"/>
  <c r="U65" i="10"/>
  <c r="U92" i="10"/>
  <c r="I30" i="10"/>
  <c r="I9" i="43"/>
  <c r="K4" i="43"/>
  <c r="AC16" i="43"/>
  <c r="G70" i="10"/>
  <c r="M28" i="43"/>
  <c r="Y72" i="10"/>
  <c r="Q118" i="10"/>
  <c r="Q67" i="10"/>
  <c r="Z114" i="10"/>
  <c r="U51" i="10"/>
  <c r="S84" i="10"/>
  <c r="S44" i="10"/>
  <c r="AA40" i="43"/>
  <c r="G32" i="43"/>
  <c r="M39" i="43"/>
  <c r="P85" i="10"/>
  <c r="Q53" i="10"/>
  <c r="AC6" i="43"/>
  <c r="AA64" i="10"/>
  <c r="O68" i="10"/>
  <c r="I62" i="10"/>
  <c r="AA38" i="43"/>
  <c r="Y29" i="10"/>
  <c r="Y88" i="10"/>
  <c r="AC21" i="43"/>
  <c r="AA108" i="10"/>
  <c r="O47" i="43"/>
  <c r="O22" i="10"/>
  <c r="AA42" i="10"/>
  <c r="U90" i="10"/>
  <c r="G122" i="10"/>
  <c r="G41" i="43"/>
  <c r="R109" i="10"/>
  <c r="Q41" i="10"/>
  <c r="M43" i="43"/>
  <c r="Q62" i="10"/>
  <c r="AC50" i="43"/>
  <c r="M40" i="10"/>
  <c r="I120" i="10"/>
  <c r="Y40" i="43"/>
  <c r="H75" i="10"/>
  <c r="W43" i="10"/>
  <c r="U99" i="10"/>
  <c r="M12" i="43"/>
  <c r="Z89" i="10"/>
  <c r="Y115" i="10"/>
  <c r="G41" i="10"/>
  <c r="K39" i="43"/>
  <c r="H107" i="10"/>
  <c r="O48" i="10"/>
  <c r="W21" i="43"/>
  <c r="D80" i="10"/>
  <c r="Z88" i="10"/>
  <c r="R98" i="10"/>
  <c r="W79" i="10"/>
  <c r="O115" i="10"/>
  <c r="W62" i="10"/>
  <c r="R122" i="10"/>
  <c r="S83" i="10"/>
  <c r="Q43" i="43"/>
  <c r="H115" i="10"/>
  <c r="I11" i="43"/>
  <c r="I116" i="10"/>
  <c r="U93" i="10"/>
  <c r="W88" i="10"/>
  <c r="Z116" i="10"/>
  <c r="N113" i="10"/>
  <c r="W122" i="10"/>
  <c r="D115" i="10"/>
  <c r="K64" i="10"/>
  <c r="F120" i="10"/>
  <c r="L104" i="10"/>
  <c r="G97" i="10"/>
  <c r="E42" i="10"/>
  <c r="E92" i="10"/>
  <c r="U30" i="10"/>
  <c r="G57" i="10"/>
  <c r="W86" i="10"/>
  <c r="Q34" i="43"/>
  <c r="I24" i="43"/>
  <c r="P73" i="10"/>
  <c r="L94" i="10"/>
  <c r="X116" i="10"/>
  <c r="I61" i="10"/>
  <c r="G15" i="10"/>
  <c r="M23" i="43"/>
  <c r="J102" i="10"/>
  <c r="G74" i="10"/>
  <c r="Y54" i="10"/>
  <c r="S113" i="10"/>
  <c r="G83" i="10"/>
  <c r="D86" i="10"/>
  <c r="AA111" i="10"/>
  <c r="O71" i="10"/>
  <c r="U19" i="43"/>
  <c r="U91" i="10"/>
  <c r="K98" i="10"/>
  <c r="U28" i="10"/>
  <c r="Q38" i="10"/>
  <c r="M59" i="10"/>
  <c r="W32" i="10"/>
  <c r="J81" i="10"/>
  <c r="I18" i="43"/>
  <c r="Y93" i="10"/>
  <c r="I17" i="10"/>
  <c r="O40" i="10"/>
  <c r="Y121" i="10"/>
  <c r="X118" i="10"/>
  <c r="J76" i="10"/>
  <c r="D89" i="10"/>
  <c r="M57" i="10"/>
  <c r="G42" i="43"/>
  <c r="Y9" i="43"/>
  <c r="R102" i="10"/>
  <c r="M20" i="43"/>
  <c r="Q43" i="10"/>
  <c r="R74" i="10"/>
  <c r="Y18" i="10"/>
  <c r="N112" i="10"/>
  <c r="AC37" i="43"/>
  <c r="M58" i="10"/>
  <c r="L88" i="10"/>
  <c r="O49" i="10"/>
  <c r="P74" i="10"/>
  <c r="U26" i="10"/>
  <c r="Q36" i="43"/>
  <c r="V120" i="10"/>
  <c r="L101" i="10"/>
  <c r="K101" i="10"/>
  <c r="Q91" i="10"/>
  <c r="Q66" i="10"/>
  <c r="K25" i="43"/>
  <c r="S104" i="10"/>
  <c r="K42" i="10"/>
  <c r="Y10" i="43"/>
  <c r="K32" i="10"/>
  <c r="I66" i="10"/>
  <c r="N73" i="10"/>
  <c r="K71" i="10"/>
  <c r="U38" i="43"/>
  <c r="Y75" i="10"/>
  <c r="N90" i="10"/>
  <c r="O98" i="10"/>
  <c r="W47" i="43"/>
  <c r="K68" i="10"/>
  <c r="U68" i="10"/>
  <c r="U66" i="10"/>
  <c r="V95" i="10"/>
  <c r="L76" i="10"/>
  <c r="U47" i="10"/>
  <c r="Q102" i="10"/>
  <c r="S57" i="10"/>
  <c r="P120" i="10"/>
  <c r="Z76" i="10"/>
  <c r="P80" i="10"/>
  <c r="E65" i="10"/>
  <c r="Z122" i="10"/>
  <c r="V75" i="10"/>
  <c r="P114" i="10"/>
  <c r="E80" i="10"/>
  <c r="N75" i="10"/>
  <c r="X78" i="10"/>
  <c r="K35" i="43"/>
  <c r="G106" i="10"/>
  <c r="Y91" i="10"/>
  <c r="S66" i="10"/>
  <c r="L113" i="10"/>
  <c r="G43" i="10"/>
  <c r="W8" i="43"/>
  <c r="K67" i="10"/>
  <c r="U5" i="43"/>
  <c r="AA33" i="10"/>
  <c r="K16" i="10"/>
  <c r="F101" i="10"/>
  <c r="G33" i="10"/>
  <c r="Q28" i="43"/>
  <c r="J82" i="10"/>
  <c r="O118" i="10"/>
  <c r="E83" i="10"/>
  <c r="Q68" i="10"/>
  <c r="G52" i="10"/>
  <c r="AA32" i="10"/>
  <c r="T85" i="10"/>
  <c r="AC35" i="43"/>
  <c r="U29" i="10"/>
  <c r="M45" i="43"/>
  <c r="Q52" i="43"/>
  <c r="K51" i="10"/>
  <c r="H96" i="10"/>
  <c r="U120" i="10"/>
  <c r="AC40" i="43"/>
  <c r="Y30" i="43"/>
  <c r="Y22" i="10"/>
  <c r="I36" i="43"/>
  <c r="R92" i="10"/>
  <c r="G88" i="10"/>
  <c r="M20" i="10"/>
  <c r="Q77" i="10"/>
  <c r="O42" i="43"/>
  <c r="AA101" i="10"/>
  <c r="V116" i="10"/>
  <c r="I23" i="10"/>
  <c r="K82" i="10"/>
  <c r="Q54" i="10"/>
  <c r="W74" i="10"/>
  <c r="R80" i="10"/>
  <c r="I82" i="10"/>
  <c r="K55" i="10"/>
  <c r="U45" i="43"/>
  <c r="AC48" i="43"/>
  <c r="N89" i="10"/>
  <c r="Q15" i="10"/>
  <c r="G36" i="43"/>
  <c r="Z98" i="10"/>
  <c r="V91" i="10"/>
  <c r="S87" i="10"/>
  <c r="Q21" i="43"/>
  <c r="O114" i="10"/>
  <c r="M6" i="43"/>
  <c r="U27" i="43"/>
  <c r="F88" i="10"/>
  <c r="M98" i="10"/>
  <c r="I24" i="10"/>
  <c r="Y17" i="10"/>
  <c r="N93" i="10"/>
  <c r="G35" i="10"/>
  <c r="AA114" i="10"/>
  <c r="U76" i="10"/>
  <c r="L78" i="10"/>
  <c r="V107" i="10"/>
  <c r="I33" i="10"/>
  <c r="AC10" i="43"/>
  <c r="W113" i="10"/>
  <c r="O17" i="43"/>
  <c r="AA26" i="10"/>
  <c r="S32" i="43"/>
  <c r="Q26" i="10"/>
  <c r="M53" i="10"/>
  <c r="W55" i="10"/>
  <c r="W71" i="10"/>
  <c r="R83" i="10"/>
  <c r="I98" i="10"/>
  <c r="AA113" i="10"/>
  <c r="Z101" i="10"/>
  <c r="M31" i="43"/>
  <c r="E37" i="10"/>
  <c r="G100" i="10"/>
  <c r="U44" i="10"/>
  <c r="O20" i="43"/>
  <c r="Q94" i="10"/>
  <c r="M65" i="10"/>
  <c r="O23" i="43"/>
  <c r="N92" i="10"/>
  <c r="U47" i="43"/>
  <c r="G19" i="43"/>
  <c r="P84" i="10"/>
  <c r="J101" i="10"/>
  <c r="O89" i="10"/>
  <c r="Y45" i="43"/>
  <c r="AA44" i="43"/>
  <c r="E56" i="10"/>
  <c r="AA118" i="10"/>
  <c r="M68" i="10"/>
  <c r="G38" i="43"/>
  <c r="G54" i="43"/>
  <c r="G20" i="43"/>
  <c r="W57" i="10"/>
  <c r="I26" i="43"/>
  <c r="Y56" i="10"/>
  <c r="I20" i="10"/>
  <c r="Y42" i="10"/>
  <c r="E35" i="10"/>
  <c r="E29" i="10"/>
  <c r="W108" i="10"/>
  <c r="G5" i="43"/>
  <c r="S18" i="43"/>
  <c r="O25" i="43"/>
  <c r="Y24" i="43"/>
  <c r="I85" i="10"/>
  <c r="AA8" i="43"/>
  <c r="L98" i="10"/>
  <c r="W54" i="43"/>
  <c r="I37" i="43"/>
  <c r="E115" i="10"/>
  <c r="AA107" i="10"/>
  <c r="M52" i="10"/>
  <c r="U18" i="43"/>
  <c r="G109" i="10"/>
  <c r="I107" i="10"/>
  <c r="Q27" i="10"/>
  <c r="AA49" i="43"/>
  <c r="H111" i="10"/>
  <c r="G37" i="43"/>
  <c r="L70" i="10"/>
  <c r="K45" i="10"/>
  <c r="L72" i="10"/>
  <c r="H110" i="10"/>
  <c r="Z86" i="10"/>
  <c r="M50" i="43"/>
  <c r="Q44" i="43"/>
  <c r="O88" i="10"/>
  <c r="G29" i="43"/>
  <c r="R103" i="10"/>
  <c r="O8" i="43"/>
  <c r="G22" i="43"/>
  <c r="N111" i="10"/>
  <c r="S15" i="43"/>
  <c r="O33" i="10"/>
  <c r="O55" i="43"/>
  <c r="G27" i="10"/>
  <c r="W65" i="10"/>
  <c r="K74" i="10"/>
  <c r="F72" i="10"/>
  <c r="M101" i="10"/>
  <c r="E110" i="10"/>
  <c r="Q12" i="43"/>
  <c r="E70" i="10"/>
  <c r="S99" i="10"/>
  <c r="I122" i="10"/>
  <c r="H78" i="10"/>
  <c r="G19" i="10"/>
  <c r="U67" i="10"/>
  <c r="P103" i="10"/>
  <c r="K89" i="10"/>
  <c r="W20" i="43"/>
  <c r="S19" i="43"/>
  <c r="G40" i="43"/>
  <c r="AA29" i="43"/>
  <c r="M64" i="10"/>
  <c r="D109" i="10"/>
  <c r="N88" i="10"/>
  <c r="S107" i="10"/>
  <c r="P93" i="10"/>
  <c r="Y23" i="43"/>
  <c r="Z87" i="10"/>
  <c r="G64" i="10"/>
  <c r="W56" i="10"/>
  <c r="U54" i="43"/>
  <c r="M94" i="10"/>
  <c r="M17" i="10"/>
  <c r="E28" i="10"/>
  <c r="R88" i="10"/>
  <c r="K42" i="43"/>
  <c r="Y25" i="43"/>
  <c r="I93" i="10"/>
  <c r="D91" i="10"/>
  <c r="S34" i="10"/>
  <c r="T113" i="10"/>
  <c r="R114" i="10"/>
  <c r="W16" i="43"/>
  <c r="M28" i="10"/>
  <c r="I117" i="10"/>
  <c r="J72" i="10"/>
  <c r="S37" i="10"/>
  <c r="M31" i="10"/>
  <c r="AC27" i="43"/>
  <c r="AA38" i="10"/>
  <c r="L102" i="10"/>
  <c r="P96" i="10"/>
  <c r="AA28" i="10"/>
  <c r="Q18" i="10"/>
  <c r="L85" i="10"/>
  <c r="P70" i="10"/>
  <c r="AA36" i="43"/>
  <c r="S118" i="10"/>
  <c r="Q10" i="43"/>
  <c r="M42" i="10"/>
  <c r="X74" i="10"/>
  <c r="K20" i="43"/>
  <c r="T116" i="10"/>
  <c r="Y113" i="10"/>
  <c r="I54" i="10"/>
  <c r="E79" i="10"/>
  <c r="I50" i="43"/>
  <c r="I15" i="10"/>
  <c r="M37" i="43"/>
  <c r="G56" i="10"/>
  <c r="J91" i="10"/>
  <c r="J75" i="10"/>
  <c r="O19" i="10"/>
  <c r="Y71" i="10"/>
  <c r="Y103" i="10"/>
  <c r="K116" i="10"/>
  <c r="W24" i="43"/>
  <c r="M22" i="10"/>
  <c r="V98" i="10"/>
  <c r="X94" i="10"/>
  <c r="I31" i="10"/>
  <c r="S35" i="10"/>
  <c r="AC7" i="43"/>
  <c r="Y32" i="10"/>
  <c r="V101" i="10"/>
  <c r="J94" i="10"/>
  <c r="O29" i="10"/>
  <c r="O113" i="10"/>
  <c r="AA121" i="10"/>
  <c r="K61" i="10"/>
  <c r="AA28" i="43"/>
  <c r="W58" i="10"/>
  <c r="G65" i="10"/>
  <c r="W48" i="43"/>
  <c r="S8" i="43"/>
  <c r="N121" i="10"/>
  <c r="AA90" i="10"/>
  <c r="K81" i="10"/>
  <c r="O81" i="10"/>
  <c r="AA50" i="43"/>
  <c r="K39" i="10"/>
  <c r="E108" i="10"/>
  <c r="R76" i="10"/>
  <c r="U106" i="10"/>
  <c r="AA85" i="10"/>
  <c r="AA66" i="10"/>
  <c r="O54" i="43"/>
  <c r="W45" i="10"/>
  <c r="N91" i="10"/>
  <c r="L74" i="10"/>
  <c r="K6" i="43"/>
  <c r="V78" i="10"/>
  <c r="D83" i="10"/>
  <c r="Y52" i="43"/>
  <c r="E61" i="10"/>
  <c r="N122" i="10"/>
  <c r="N74" i="10"/>
  <c r="N99" i="10"/>
  <c r="O29" i="43"/>
  <c r="T122" i="10"/>
  <c r="W32" i="43"/>
  <c r="M115" i="10"/>
  <c r="W51" i="10"/>
  <c r="W97" i="10"/>
  <c r="R113" i="10"/>
  <c r="AA22" i="43"/>
  <c r="M46" i="43"/>
  <c r="G21" i="10"/>
  <c r="W49" i="43"/>
  <c r="W109" i="10"/>
  <c r="X97" i="10"/>
  <c r="K29" i="10"/>
  <c r="O13" i="43"/>
  <c r="F73" i="10"/>
  <c r="J105" i="10"/>
  <c r="F78" i="10"/>
  <c r="M66" i="10"/>
  <c r="M54" i="10"/>
  <c r="U59" i="10"/>
  <c r="E50" i="10"/>
  <c r="S38" i="10"/>
  <c r="K43" i="43"/>
  <c r="G114" i="10"/>
  <c r="I41" i="43"/>
  <c r="I48" i="43"/>
  <c r="M61" i="10"/>
  <c r="Q31" i="43"/>
  <c r="O40" i="43"/>
  <c r="U23" i="43"/>
  <c r="S74" i="10"/>
  <c r="Y74" i="10"/>
  <c r="X82" i="10"/>
  <c r="X115" i="10"/>
  <c r="K32" i="43"/>
  <c r="O22" i="43"/>
  <c r="T95" i="10"/>
  <c r="P119" i="10"/>
  <c r="U94" i="10"/>
  <c r="Q75" i="10"/>
  <c r="O109" i="10"/>
  <c r="K17" i="43"/>
  <c r="G47" i="43"/>
  <c r="T96" i="10"/>
  <c r="AA55" i="43"/>
  <c r="K19" i="43"/>
  <c r="I60" i="10"/>
  <c r="O32" i="10"/>
  <c r="U30" i="43"/>
  <c r="E30" i="10"/>
  <c r="U25" i="43"/>
  <c r="Q52" i="10"/>
  <c r="K122" i="10"/>
  <c r="U105" i="10"/>
  <c r="I16" i="10"/>
  <c r="U72" i="10"/>
  <c r="R86" i="10"/>
  <c r="I112" i="10"/>
  <c r="O60" i="10"/>
  <c r="S24" i="10"/>
  <c r="W11" i="43"/>
  <c r="P94" i="10"/>
  <c r="M35" i="10"/>
  <c r="Z108" i="10"/>
  <c r="Y17" i="43"/>
  <c r="Y83" i="10"/>
  <c r="K21" i="10"/>
  <c r="M53" i="43"/>
  <c r="W68" i="10"/>
  <c r="Q35" i="10"/>
  <c r="AA27" i="43"/>
  <c r="S25" i="43"/>
  <c r="R78" i="10"/>
  <c r="Y85" i="10"/>
  <c r="AA109" i="10"/>
  <c r="Z75" i="10"/>
  <c r="G94" i="10"/>
  <c r="Y11" i="43"/>
  <c r="M97" i="10"/>
  <c r="K40" i="43"/>
  <c r="G72" i="10"/>
  <c r="M112" i="10"/>
  <c r="Y80" i="10"/>
  <c r="O36" i="43"/>
  <c r="Q120" i="10"/>
  <c r="E99" i="10"/>
  <c r="K23" i="10"/>
  <c r="W28" i="10"/>
  <c r="M52" i="43"/>
  <c r="U48" i="43"/>
  <c r="O41" i="43"/>
  <c r="AC47" i="43"/>
  <c r="Y96" i="10"/>
  <c r="M119" i="10"/>
  <c r="S23" i="10"/>
  <c r="W31" i="10"/>
  <c r="Q64" i="10"/>
  <c r="O116" i="10"/>
  <c r="U25" i="10"/>
  <c r="U104" i="10"/>
  <c r="Z71" i="10"/>
  <c r="F118" i="10"/>
  <c r="V115" i="10"/>
  <c r="Q65" i="10"/>
  <c r="V121" i="10"/>
  <c r="G52" i="43"/>
  <c r="G75" i="10"/>
  <c r="T74" i="10"/>
  <c r="O43" i="43"/>
  <c r="AA97" i="10"/>
  <c r="U16" i="43"/>
  <c r="F83" i="10"/>
  <c r="AC5" i="43"/>
  <c r="W40" i="43"/>
  <c r="AA11" i="43"/>
  <c r="T78" i="10"/>
  <c r="I83" i="10"/>
  <c r="I89" i="10"/>
  <c r="AA39" i="10"/>
  <c r="V103" i="10"/>
  <c r="V94" i="10"/>
  <c r="W21" i="10"/>
  <c r="F106" i="10"/>
  <c r="G98" i="10"/>
  <c r="J106" i="10"/>
  <c r="M14" i="43"/>
  <c r="Q38" i="43"/>
  <c r="Q48" i="10"/>
  <c r="V112" i="10"/>
  <c r="K112" i="10"/>
  <c r="S17" i="43"/>
  <c r="H91" i="10"/>
  <c r="G51" i="43"/>
  <c r="Y76" i="10"/>
  <c r="W64" i="10"/>
  <c r="H108" i="10"/>
  <c r="E26" i="10"/>
  <c r="AA51" i="43"/>
  <c r="U119" i="10"/>
  <c r="M38" i="10"/>
  <c r="G16" i="43"/>
  <c r="W77" i="10"/>
  <c r="X108" i="10"/>
  <c r="K95" i="10"/>
  <c r="O66" i="10"/>
  <c r="G34" i="10"/>
  <c r="Z94" i="10"/>
  <c r="Y117" i="10"/>
  <c r="S59" i="10"/>
  <c r="I58" i="10"/>
  <c r="I113" i="10"/>
  <c r="K49" i="43"/>
  <c r="I99" i="10"/>
  <c r="Y47" i="43"/>
  <c r="V89" i="10"/>
  <c r="M55" i="10"/>
  <c r="F116" i="10"/>
  <c r="K22" i="43"/>
  <c r="Y86" i="10"/>
  <c r="K46" i="43"/>
  <c r="U39" i="10"/>
  <c r="S78" i="10"/>
  <c r="Q35" i="43"/>
  <c r="E68" i="10"/>
  <c r="W20" i="10"/>
  <c r="Y104" i="10"/>
  <c r="K41" i="43"/>
  <c r="S28" i="43"/>
  <c r="K31" i="43"/>
  <c r="Q112" i="10"/>
  <c r="K13" i="43"/>
  <c r="U88" i="10"/>
  <c r="E75" i="10"/>
  <c r="U71" i="10"/>
  <c r="E64" i="10"/>
  <c r="U110" i="10"/>
  <c r="K99" i="10"/>
  <c r="G30" i="10"/>
  <c r="O31" i="43"/>
  <c r="E107" i="10"/>
  <c r="AA77" i="10"/>
  <c r="S5" i="43"/>
  <c r="Q74" i="10"/>
  <c r="M30" i="10"/>
  <c r="Q113" i="10"/>
  <c r="M103" i="10"/>
  <c r="AA55" i="10"/>
  <c r="N110" i="10"/>
  <c r="K18" i="43"/>
  <c r="W59" i="10"/>
  <c r="U73" i="10"/>
  <c r="Y39" i="43"/>
  <c r="E106" i="10"/>
  <c r="U101" i="10"/>
  <c r="M84" i="10"/>
  <c r="O74" i="10"/>
  <c r="Q32" i="10"/>
  <c r="W60" i="10"/>
  <c r="K38" i="43"/>
  <c r="D119" i="10"/>
  <c r="S105" i="10"/>
  <c r="Y16" i="10"/>
  <c r="I23" i="43"/>
  <c r="M41" i="10"/>
  <c r="U40" i="10"/>
  <c r="AA119" i="10"/>
  <c r="O107" i="10"/>
  <c r="U12" i="43"/>
  <c r="U17" i="43"/>
  <c r="G111" i="10"/>
  <c r="AC28" i="43"/>
  <c r="Y57" i="10"/>
  <c r="Y49" i="43"/>
  <c r="M39" i="10"/>
  <c r="K53" i="10"/>
  <c r="S46" i="43"/>
  <c r="G18" i="10"/>
  <c r="Q24" i="10"/>
  <c r="M86" i="10"/>
  <c r="I55" i="43"/>
  <c r="U4" i="43"/>
  <c r="R94" i="10"/>
  <c r="Q119" i="10"/>
  <c r="K88" i="10"/>
  <c r="AA61" i="10"/>
  <c r="Z90" i="10"/>
  <c r="AA73" i="10"/>
  <c r="M49" i="10"/>
  <c r="N119" i="10"/>
  <c r="AA41" i="43"/>
  <c r="Q89" i="10"/>
  <c r="S93" i="10"/>
  <c r="G24" i="43"/>
  <c r="O120" i="10"/>
  <c r="Y42" i="43"/>
  <c r="I34" i="43"/>
  <c r="H89" i="10"/>
  <c r="N83" i="10"/>
  <c r="U80" i="10"/>
  <c r="P116" i="10"/>
  <c r="M113" i="10"/>
  <c r="O47" i="10"/>
  <c r="R104" i="10"/>
  <c r="H114" i="10"/>
  <c r="G24" i="10"/>
  <c r="Q81" i="10"/>
  <c r="Q32" i="43"/>
  <c r="E19" i="10"/>
  <c r="O111" i="10"/>
  <c r="G25" i="10"/>
  <c r="M16" i="43"/>
  <c r="AA24" i="43"/>
  <c r="I64" i="10"/>
  <c r="X88" i="10"/>
  <c r="Z121" i="10"/>
  <c r="W35" i="10"/>
  <c r="Q17" i="10"/>
  <c r="U21" i="43"/>
  <c r="U22" i="10"/>
  <c r="U70" i="10"/>
  <c r="M116" i="10"/>
  <c r="S85" i="10"/>
  <c r="S22" i="10"/>
  <c r="K30" i="10"/>
  <c r="H92" i="10"/>
  <c r="AA94" i="10"/>
  <c r="N117" i="10"/>
  <c r="S40" i="10"/>
  <c r="H85" i="10"/>
  <c r="O53" i="10"/>
  <c r="O27" i="10"/>
  <c r="AA65" i="10"/>
  <c r="P117" i="10"/>
  <c r="Q72" i="10"/>
  <c r="Y5" i="43"/>
  <c r="T71" i="10"/>
  <c r="O110" i="10"/>
  <c r="M79" i="10"/>
  <c r="G35" i="43"/>
  <c r="AC46" i="43"/>
  <c r="I74" i="10"/>
  <c r="W33" i="43"/>
  <c r="G6" i="43"/>
  <c r="Y105" i="10"/>
  <c r="G21" i="43"/>
  <c r="G62" i="10"/>
  <c r="M32" i="10"/>
  <c r="O94" i="10"/>
  <c r="D99" i="10"/>
  <c r="W96" i="10"/>
  <c r="M48" i="43"/>
  <c r="G23" i="10"/>
  <c r="K48" i="43"/>
  <c r="W78" i="10"/>
  <c r="K40" i="10"/>
  <c r="F113" i="10"/>
  <c r="E120" i="10"/>
  <c r="M26" i="10"/>
  <c r="Q47" i="10"/>
  <c r="G29" i="10"/>
  <c r="J104" i="10"/>
  <c r="I27" i="10"/>
  <c r="T77" i="10"/>
  <c r="N78" i="10"/>
  <c r="X81" i="10"/>
  <c r="P82" i="10"/>
  <c r="E94" i="10"/>
  <c r="U53" i="10"/>
  <c r="K49" i="10"/>
  <c r="G86" i="10"/>
  <c r="AA58" i="10"/>
  <c r="G113" i="10"/>
  <c r="K37" i="10"/>
  <c r="M44" i="10"/>
  <c r="I73" i="10"/>
  <c r="K54" i="43"/>
  <c r="AC8" i="43"/>
  <c r="P106" i="10"/>
  <c r="AA45" i="43"/>
  <c r="X122" i="10"/>
  <c r="Z110" i="10"/>
  <c r="Y55" i="10"/>
  <c r="Y95" i="10"/>
  <c r="S19" i="10"/>
  <c r="O24" i="43"/>
  <c r="W95" i="10"/>
  <c r="O83" i="10"/>
  <c r="Q39" i="10"/>
  <c r="O121" i="10"/>
  <c r="Q90" i="10"/>
  <c r="P97" i="10"/>
  <c r="O12" i="43"/>
  <c r="I59" i="10"/>
  <c r="H98" i="10"/>
  <c r="U51" i="43"/>
  <c r="J120" i="10"/>
  <c r="P92" i="10"/>
  <c r="D117" i="10"/>
  <c r="AA22" i="10"/>
  <c r="Q96" i="10"/>
  <c r="T99" i="10"/>
  <c r="AA37" i="43"/>
  <c r="E16" i="10"/>
  <c r="J83" i="10"/>
  <c r="H102" i="10"/>
  <c r="AC9" i="43"/>
  <c r="Y21" i="43"/>
  <c r="Q73" i="10"/>
  <c r="R71" i="10"/>
  <c r="I45" i="43"/>
  <c r="R107" i="10"/>
  <c r="Y37" i="43"/>
  <c r="I4" i="43"/>
  <c r="AA16" i="10"/>
  <c r="K96" i="10"/>
  <c r="M46" i="10"/>
  <c r="W17" i="10"/>
  <c r="J111" i="10"/>
  <c r="E44" i="10"/>
  <c r="M122" i="10"/>
  <c r="S58" i="10"/>
  <c r="U32" i="10"/>
  <c r="W42" i="10"/>
  <c r="P102" i="10"/>
  <c r="Y90" i="10"/>
  <c r="M51" i="43"/>
  <c r="U33" i="43"/>
  <c r="Y67" i="10"/>
  <c r="AA23" i="43"/>
  <c r="U118" i="10"/>
  <c r="Y60" i="10"/>
  <c r="S52" i="43"/>
  <c r="S25" i="10"/>
  <c r="Y6" i="43"/>
  <c r="I7" i="43"/>
  <c r="S72" i="10"/>
  <c r="Q17" i="43"/>
  <c r="Y119" i="10"/>
  <c r="K80" i="10"/>
  <c r="X71" i="10"/>
  <c r="F111" i="10"/>
  <c r="Q85" i="10"/>
  <c r="Y44" i="10"/>
  <c r="M75" i="10"/>
  <c r="P112" i="10"/>
  <c r="X101" i="10"/>
  <c r="E73" i="10"/>
  <c r="Q13" i="43"/>
  <c r="K23" i="43"/>
  <c r="T84" i="10"/>
  <c r="V110" i="10"/>
  <c r="S14" i="43"/>
  <c r="V111" i="10"/>
  <c r="U24" i="43"/>
  <c r="AC44" i="43"/>
  <c r="W18" i="10"/>
  <c r="W16" i="10"/>
  <c r="G51" i="10"/>
  <c r="W35" i="43"/>
  <c r="U98" i="10"/>
  <c r="M27" i="10"/>
  <c r="Y55" i="43"/>
  <c r="M18" i="10"/>
  <c r="V96" i="10"/>
  <c r="I75" i="10"/>
  <c r="S34" i="43"/>
  <c r="O43" i="10"/>
  <c r="P86" i="10"/>
  <c r="AA42" i="43"/>
  <c r="U54" i="10"/>
  <c r="L118" i="10"/>
  <c r="S41" i="10"/>
  <c r="O105" i="10"/>
  <c r="U26" i="43"/>
  <c r="G71" i="10"/>
  <c r="Q7" i="43"/>
  <c r="D100" i="10"/>
  <c r="J119" i="10"/>
  <c r="AA76" i="10"/>
  <c r="Y34" i="10"/>
  <c r="M109" i="10"/>
  <c r="Z109" i="10"/>
  <c r="O65" i="10"/>
  <c r="Z77" i="10"/>
  <c r="W102" i="10"/>
  <c r="W49" i="10"/>
  <c r="K25" i="10"/>
  <c r="R93" i="10"/>
  <c r="Y30" i="10"/>
  <c r="T120" i="10"/>
  <c r="U6" i="43"/>
  <c r="Y4" i="43"/>
  <c r="G90" i="10"/>
  <c r="Z74" i="10"/>
  <c r="M5" i="43"/>
  <c r="W17" i="43"/>
  <c r="U89" i="10"/>
  <c r="K59" i="10"/>
  <c r="Q29" i="43"/>
  <c r="E112" i="10"/>
  <c r="N106" i="10"/>
  <c r="G99" i="10"/>
  <c r="W23" i="43"/>
  <c r="S21" i="10"/>
  <c r="N98" i="10"/>
  <c r="M13" i="43"/>
  <c r="K5" i="43"/>
  <c r="I44" i="43"/>
  <c r="I43" i="43"/>
  <c r="E55" i="10"/>
  <c r="S68" i="10"/>
  <c r="G4" i="43"/>
  <c r="W54" i="10"/>
  <c r="Y111" i="10"/>
  <c r="E95" i="10"/>
  <c r="J70" i="10"/>
  <c r="W107" i="10"/>
  <c r="K114" i="10"/>
  <c r="E121" i="10"/>
  <c r="G54" i="10"/>
  <c r="L99" i="10"/>
  <c r="O122" i="10"/>
  <c r="O18" i="10"/>
  <c r="R118" i="10"/>
  <c r="AA47" i="43"/>
  <c r="T93" i="10"/>
  <c r="K29" i="43"/>
  <c r="U45" i="10"/>
  <c r="O78" i="10"/>
  <c r="I65" i="10"/>
  <c r="H93" i="10"/>
  <c r="M72" i="10"/>
  <c r="G80" i="10"/>
  <c r="W66" i="10"/>
  <c r="U35" i="43"/>
  <c r="T86" i="10"/>
  <c r="H106" i="10"/>
  <c r="O44" i="43"/>
  <c r="G53" i="43"/>
  <c r="G77" i="10"/>
  <c r="N114" i="10"/>
  <c r="Y84" i="10"/>
  <c r="AA43" i="10"/>
  <c r="O45" i="43"/>
  <c r="Y31" i="43"/>
  <c r="T79" i="10"/>
  <c r="Q63" i="10"/>
  <c r="D110" i="10"/>
  <c r="G22" i="10"/>
  <c r="M22" i="43"/>
  <c r="O15" i="43"/>
  <c r="W53" i="43"/>
  <c r="E34" i="10"/>
  <c r="U48" i="10"/>
  <c r="E58" i="10"/>
  <c r="Z117" i="10"/>
  <c r="AA81" i="10"/>
  <c r="F74" i="10"/>
  <c r="H81" i="10"/>
  <c r="K15" i="43"/>
  <c r="Y68" i="10"/>
  <c r="H70" i="10"/>
  <c r="G81" i="10"/>
  <c r="K50" i="10"/>
  <c r="J88" i="10"/>
  <c r="AA106" i="10"/>
  <c r="AC34" i="43"/>
  <c r="M67" i="10"/>
  <c r="R72" i="10"/>
  <c r="K20" i="10"/>
  <c r="K94" i="10"/>
  <c r="G26" i="10"/>
  <c r="W85" i="10"/>
  <c r="Q114" i="10"/>
  <c r="H90" i="10"/>
  <c r="G96" i="10"/>
  <c r="G85" i="10"/>
  <c r="Q103" i="10"/>
  <c r="W45" i="43"/>
  <c r="U77" i="10"/>
  <c r="E116" i="10"/>
  <c r="O95" i="10"/>
  <c r="K113" i="10"/>
  <c r="S28" i="10"/>
  <c r="E87" i="10"/>
  <c r="S82" i="10"/>
  <c r="E22" i="10"/>
  <c r="AC42" i="43"/>
  <c r="D102" i="10"/>
  <c r="K109" i="10"/>
  <c r="I57" i="10"/>
  <c r="E18" i="10"/>
  <c r="I13" i="43"/>
  <c r="P121" i="10"/>
  <c r="I51" i="10"/>
  <c r="O15" i="10"/>
  <c r="O67" i="10"/>
  <c r="I35" i="43"/>
  <c r="U33" i="10"/>
  <c r="D114" i="10"/>
  <c r="W6" i="43"/>
  <c r="S47" i="43"/>
  <c r="O39" i="43"/>
  <c r="AA96" i="10"/>
  <c r="U52" i="43"/>
  <c r="Q4" i="43"/>
  <c r="J99" i="10"/>
  <c r="W30" i="10"/>
  <c r="O104" i="10"/>
  <c r="H103" i="10"/>
  <c r="AC55" i="43"/>
  <c r="O48" i="43"/>
  <c r="G37" i="10"/>
  <c r="O70" i="10"/>
  <c r="K16" i="43"/>
  <c r="X105" i="10"/>
  <c r="N76" i="10"/>
  <c r="W25" i="43"/>
  <c r="Q49" i="10"/>
  <c r="G32" i="10"/>
  <c r="K97" i="10"/>
  <c r="P87" i="10"/>
  <c r="K62" i="10"/>
  <c r="I101" i="10"/>
  <c r="M8" i="43"/>
  <c r="G27" i="43"/>
  <c r="U61" i="10"/>
  <c r="AA54" i="43"/>
  <c r="U37" i="10"/>
  <c r="E23" i="10"/>
  <c r="T107" i="10"/>
  <c r="K33" i="43"/>
  <c r="S47" i="10"/>
  <c r="M24" i="43"/>
  <c r="D84" i="10"/>
  <c r="M108" i="10"/>
  <c r="K102" i="10"/>
  <c r="L89" i="10"/>
  <c r="Y46" i="43"/>
  <c r="F99" i="10"/>
  <c r="S44" i="43"/>
  <c r="H80" i="10"/>
  <c r="G121" i="10"/>
  <c r="F121" i="10"/>
  <c r="G112" i="10"/>
  <c r="E105" i="10"/>
  <c r="W37" i="10"/>
  <c r="S48" i="10"/>
  <c r="I47" i="10"/>
  <c r="AA63" i="10"/>
  <c r="K10" i="43"/>
  <c r="D95" i="10"/>
  <c r="S50" i="43"/>
  <c r="G104" i="10"/>
  <c r="F109" i="10"/>
  <c r="S33" i="43"/>
  <c r="L97" i="10"/>
  <c r="Z105" i="10"/>
  <c r="F92" i="10"/>
  <c r="Q109" i="10"/>
  <c r="I5" i="43"/>
  <c r="Q97" i="10"/>
  <c r="D71" i="10"/>
  <c r="M54" i="43"/>
  <c r="Q40" i="43"/>
  <c r="R96" i="10"/>
  <c r="U13" i="43"/>
  <c r="I39" i="10"/>
  <c r="N72" i="10"/>
  <c r="Q104" i="10"/>
  <c r="W115" i="10"/>
  <c r="L71" i="10"/>
  <c r="Y15" i="10"/>
  <c r="G48" i="10"/>
  <c r="O77" i="10"/>
  <c r="M55" i="43"/>
  <c r="Q16" i="43"/>
  <c r="F104" i="10"/>
  <c r="O27" i="43"/>
  <c r="S21" i="43"/>
  <c r="W39" i="10"/>
  <c r="M90" i="10"/>
  <c r="O97" i="10"/>
  <c r="U11" i="43"/>
  <c r="I110" i="10"/>
  <c r="U31" i="10"/>
  <c r="I80" i="10"/>
  <c r="AA16" i="43"/>
  <c r="J92" i="10"/>
  <c r="M49" i="43"/>
  <c r="V114" i="10"/>
  <c r="T72" i="10"/>
  <c r="U108" i="10"/>
  <c r="U116" i="10"/>
  <c r="H104" i="10"/>
  <c r="I97" i="10"/>
  <c r="E40" i="10"/>
  <c r="J107" i="10"/>
  <c r="H119" i="10"/>
  <c r="E90" i="10"/>
  <c r="S43" i="43"/>
  <c r="Y12" i="43"/>
  <c r="V118" i="10"/>
  <c r="S119" i="10"/>
  <c r="Y38" i="10"/>
  <c r="S86" i="10"/>
  <c r="Q20" i="43"/>
  <c r="J97" i="10"/>
  <c r="K36" i="43"/>
  <c r="O112" i="10"/>
  <c r="W83" i="10"/>
  <c r="S26" i="10"/>
  <c r="M26" i="43"/>
  <c r="Y101" i="10"/>
  <c r="AA100" i="10"/>
  <c r="Z118" i="10"/>
  <c r="V83" i="10"/>
  <c r="AA18" i="43"/>
  <c r="I70" i="10"/>
  <c r="X98" i="10"/>
  <c r="W7" i="43"/>
  <c r="G53" i="10"/>
  <c r="T80" i="10"/>
  <c r="W50" i="10"/>
  <c r="L77" i="10"/>
  <c r="W104" i="10"/>
  <c r="S54" i="43"/>
  <c r="G118" i="10"/>
  <c r="E88" i="10"/>
  <c r="F90" i="10"/>
  <c r="D90" i="10"/>
  <c r="Y23" i="10"/>
  <c r="T110" i="10"/>
  <c r="Y32" i="43"/>
  <c r="Y65" i="10"/>
  <c r="R79" i="10"/>
  <c r="M11" i="43"/>
  <c r="AA86" i="10"/>
  <c r="W99" i="10"/>
  <c r="P118" i="10"/>
  <c r="I46" i="10"/>
  <c r="W18" i="43"/>
  <c r="T92" i="10"/>
  <c r="M21" i="43"/>
  <c r="G89" i="10"/>
  <c r="J108" i="10"/>
  <c r="Q83" i="10"/>
  <c r="I109" i="10"/>
  <c r="S35" i="43"/>
  <c r="I25" i="43"/>
  <c r="S75" i="10"/>
  <c r="W82" i="10"/>
  <c r="G76" i="10"/>
  <c r="Q34" i="10"/>
  <c r="E111" i="10"/>
  <c r="Y58" i="10"/>
  <c r="W100" i="10"/>
  <c r="H88" i="10"/>
  <c r="I111" i="10"/>
  <c r="O17" i="10"/>
  <c r="W22" i="10"/>
  <c r="S92" i="10"/>
  <c r="J87" i="10"/>
  <c r="U14" i="43"/>
  <c r="O52" i="10"/>
  <c r="V74" i="10"/>
  <c r="M74" i="10"/>
  <c r="I29" i="10"/>
  <c r="Q84" i="10"/>
  <c r="U42" i="43"/>
  <c r="S62" i="10"/>
  <c r="D87" i="10"/>
  <c r="U103" i="10"/>
  <c r="M38" i="43"/>
  <c r="O49" i="43"/>
  <c r="L91" i="10"/>
  <c r="E33" i="10"/>
  <c r="X86" i="10"/>
  <c r="S10" i="43"/>
  <c r="W119" i="10"/>
  <c r="I18" i="10"/>
  <c r="W92" i="10"/>
  <c r="G16" i="10"/>
  <c r="O106" i="10"/>
  <c r="AA46" i="43"/>
  <c r="AC43" i="43"/>
  <c r="F86" i="10"/>
  <c r="K9" i="43"/>
  <c r="U40" i="43"/>
  <c r="AA25" i="10"/>
  <c r="O93" i="10"/>
  <c r="D116" i="10"/>
  <c r="W19" i="43"/>
  <c r="N70" i="10"/>
  <c r="D70" i="10"/>
  <c r="M18" i="43"/>
  <c r="AA41" i="10"/>
  <c r="K54" i="10"/>
  <c r="N87" i="10"/>
  <c r="P115" i="10"/>
  <c r="W37" i="43"/>
  <c r="M42" i="43"/>
  <c r="D75" i="10"/>
  <c r="E24" i="10"/>
  <c r="P77" i="10"/>
  <c r="W106" i="10"/>
  <c r="S53" i="10"/>
  <c r="Q121" i="10"/>
  <c r="W72" i="10"/>
  <c r="S23" i="43"/>
  <c r="AA19" i="10"/>
  <c r="Y47" i="10"/>
  <c r="G101" i="10"/>
  <c r="K55" i="43"/>
  <c r="O80" i="10"/>
  <c r="M48" i="10"/>
  <c r="E66" i="10"/>
  <c r="Q30" i="43"/>
  <c r="F96" i="10"/>
  <c r="P71" i="10"/>
  <c r="V109" i="10"/>
  <c r="E25" i="10"/>
  <c r="Q59" i="10"/>
  <c r="K21" i="43"/>
  <c r="M32" i="43"/>
  <c r="M24" i="10"/>
  <c r="D107" i="10"/>
  <c r="M60" i="10"/>
  <c r="K119" i="10"/>
  <c r="O45" i="10"/>
  <c r="O108" i="10"/>
  <c r="G91" i="10"/>
  <c r="U57" i="10"/>
  <c r="R90" i="10"/>
  <c r="Q31" i="10"/>
  <c r="J116" i="10"/>
  <c r="U86" i="10"/>
  <c r="Z120" i="10"/>
  <c r="AA17" i="43"/>
  <c r="O46" i="10"/>
  <c r="S95" i="10"/>
  <c r="H71" i="10"/>
  <c r="O62" i="10"/>
  <c r="Q9" i="43"/>
  <c r="K45" i="43"/>
  <c r="S41" i="43"/>
  <c r="E89" i="10"/>
  <c r="U117" i="10"/>
  <c r="I21" i="43"/>
  <c r="M56" i="10"/>
  <c r="D101" i="10"/>
  <c r="M33" i="10"/>
  <c r="K60" i="10"/>
  <c r="E17" i="10"/>
  <c r="AA37" i="10"/>
  <c r="J93" i="10"/>
  <c r="O51" i="43"/>
  <c r="K27" i="10"/>
  <c r="M77" i="10"/>
  <c r="H76" i="10"/>
  <c r="U28" i="43"/>
  <c r="S11" i="43"/>
  <c r="Q107" i="10"/>
  <c r="Y109" i="10"/>
  <c r="N86" i="10"/>
  <c r="Q92" i="10"/>
  <c r="U85" i="10"/>
  <c r="U53" i="43"/>
  <c r="Z119" i="10"/>
  <c r="E31" i="10"/>
  <c r="U31" i="43"/>
  <c r="AA32" i="43"/>
  <c r="AA82" i="10"/>
  <c r="Y22" i="43"/>
  <c r="AA43" i="43"/>
  <c r="U37" i="43"/>
  <c r="K76" i="10"/>
  <c r="X100" i="10"/>
  <c r="J84" i="10"/>
  <c r="Q51" i="10"/>
  <c r="X89" i="10"/>
  <c r="M30" i="43"/>
  <c r="Q29" i="10"/>
  <c r="I22" i="10"/>
  <c r="Y20" i="43"/>
  <c r="AA72" i="10"/>
  <c r="L120" i="10"/>
  <c r="I68" i="10"/>
  <c r="I28" i="10"/>
  <c r="S39" i="43"/>
  <c r="O76" i="10"/>
  <c r="G14" i="43"/>
  <c r="E118" i="10"/>
  <c r="V85" i="10"/>
  <c r="P110" i="10"/>
  <c r="U97" i="10"/>
  <c r="G31" i="10"/>
  <c r="U21" i="10"/>
  <c r="U38" i="10"/>
  <c r="I19" i="43"/>
  <c r="D73" i="10"/>
  <c r="J86" i="10"/>
  <c r="L75" i="10"/>
  <c r="T87" i="10"/>
  <c r="U22" i="43"/>
  <c r="N108" i="10"/>
  <c r="Y110" i="10"/>
  <c r="I30" i="43"/>
  <c r="AA57" i="10"/>
  <c r="S45" i="43"/>
  <c r="E46" i="10"/>
  <c r="AA45" i="10"/>
  <c r="G48" i="43"/>
  <c r="I10" i="43"/>
  <c r="AC22" i="43"/>
  <c r="W26" i="10"/>
  <c r="G105" i="10"/>
  <c r="I39" i="43"/>
  <c r="M43" i="10"/>
  <c r="O34" i="43"/>
  <c r="O102" i="10"/>
  <c r="W101" i="10"/>
  <c r="T121" i="10"/>
  <c r="I104" i="10"/>
  <c r="T82" i="10"/>
  <c r="E91" i="10"/>
  <c r="E32" i="10"/>
  <c r="W42" i="43"/>
  <c r="R115" i="10"/>
  <c r="M15" i="10"/>
  <c r="I87" i="10"/>
  <c r="H122" i="10"/>
  <c r="F85" i="10"/>
  <c r="K86" i="10"/>
  <c r="R77" i="10"/>
  <c r="H99" i="10"/>
  <c r="AA39" i="43"/>
  <c r="AC14" i="43"/>
  <c r="K41" i="10"/>
  <c r="O75" i="10"/>
  <c r="K63" i="10"/>
  <c r="AA62" i="10"/>
  <c r="F122" i="10"/>
  <c r="I49" i="43"/>
  <c r="J74" i="10"/>
  <c r="D118" i="10"/>
  <c r="W117" i="10"/>
  <c r="S42" i="10"/>
  <c r="O16" i="43"/>
  <c r="I52" i="43"/>
  <c r="S120" i="10"/>
  <c r="AA74" i="10"/>
  <c r="D94" i="10"/>
  <c r="O96" i="10"/>
  <c r="R106" i="10"/>
  <c r="W30" i="43"/>
  <c r="E45" i="10"/>
  <c r="M15" i="43"/>
  <c r="E109" i="10"/>
  <c r="Y54" i="43"/>
  <c r="M89" i="10"/>
  <c r="N118" i="10"/>
  <c r="J113" i="10"/>
  <c r="I71" i="10"/>
  <c r="S46" i="10"/>
  <c r="M102" i="10"/>
  <c r="T108" i="10"/>
  <c r="Y112" i="10"/>
  <c r="G17" i="10"/>
  <c r="Q41" i="43"/>
  <c r="AA48" i="43"/>
  <c r="Q23" i="10"/>
  <c r="I14" i="43"/>
  <c r="P100" i="10"/>
  <c r="AA83" i="10"/>
  <c r="T101" i="10"/>
  <c r="U7" i="43"/>
  <c r="K87" i="10"/>
  <c r="O10" i="43"/>
  <c r="F93" i="10"/>
  <c r="G20" i="10"/>
  <c r="Y28" i="43"/>
  <c r="P81" i="10"/>
  <c r="G63" i="10"/>
  <c r="Q82" i="10"/>
  <c r="I27" i="43"/>
  <c r="F98" i="10"/>
  <c r="Z93" i="10"/>
  <c r="H84" i="10"/>
  <c r="AA12" i="43"/>
  <c r="W63" i="10"/>
  <c r="R70" i="10"/>
  <c r="Z104" i="10"/>
  <c r="AA31" i="43"/>
  <c r="S61" i="10"/>
  <c r="L106" i="10"/>
  <c r="S12" i="43"/>
  <c r="J79" i="10"/>
  <c r="H97" i="10"/>
  <c r="W13" i="43"/>
  <c r="M23" i="10"/>
  <c r="Y44" i="43"/>
  <c r="T119" i="10"/>
  <c r="V81" i="10"/>
  <c r="O32" i="43"/>
  <c r="N85" i="10"/>
  <c r="Y37" i="10"/>
  <c r="Y45" i="10"/>
  <c r="O73" i="10"/>
  <c r="M83" i="10"/>
  <c r="M37" i="10"/>
  <c r="F100" i="10"/>
  <c r="W41" i="43"/>
  <c r="G38" i="10"/>
  <c r="I79" i="10"/>
  <c r="U82" i="10"/>
  <c r="M99" i="10"/>
  <c r="O37" i="43"/>
  <c r="S71" i="10"/>
  <c r="E21" i="10"/>
  <c r="S89" i="10"/>
  <c r="O90" i="10"/>
  <c r="J110" i="10"/>
  <c r="S29" i="43"/>
  <c r="S37" i="43"/>
  <c r="G59" i="10"/>
  <c r="V86" i="10"/>
  <c r="E72" i="10"/>
  <c r="R101" i="10"/>
  <c r="G60" i="10"/>
  <c r="Y50" i="43"/>
  <c r="S50" i="10"/>
  <c r="H82" i="10"/>
  <c r="S106" i="10"/>
  <c r="N103" i="10"/>
  <c r="E117" i="10"/>
  <c r="I43" i="10"/>
  <c r="L93" i="10"/>
  <c r="K100" i="10"/>
  <c r="G28" i="10"/>
  <c r="D74" i="10"/>
  <c r="O21" i="10"/>
  <c r="AA33" i="43"/>
  <c r="O92" i="10"/>
  <c r="O20" i="10"/>
  <c r="W121" i="10"/>
  <c r="Q20" i="10"/>
  <c r="Y31" i="10"/>
  <c r="E27" i="10"/>
  <c r="E43" i="10"/>
  <c r="E81" i="10"/>
  <c r="I49" i="10"/>
  <c r="E104" i="10"/>
  <c r="AC32" i="43"/>
  <c r="L96" i="10"/>
  <c r="Y114" i="10"/>
  <c r="Q37" i="10"/>
  <c r="N96" i="10"/>
  <c r="K35" i="10"/>
  <c r="X90" i="10"/>
  <c r="E103" i="10"/>
  <c r="W70" i="10"/>
  <c r="M62" i="10"/>
  <c r="S9" i="43"/>
  <c r="M80" i="10"/>
  <c r="G119" i="10"/>
  <c r="AA110" i="10"/>
  <c r="U34" i="10"/>
  <c r="P109" i="10"/>
  <c r="AA51" i="10"/>
  <c r="O72" i="10"/>
  <c r="I25" i="10"/>
  <c r="T109" i="10"/>
  <c r="K75" i="10"/>
  <c r="G47" i="10"/>
  <c r="W55" i="43"/>
  <c r="J122" i="10"/>
  <c r="T75" i="10"/>
  <c r="O117" i="10"/>
  <c r="D112" i="10"/>
  <c r="Y98" i="10"/>
  <c r="E20" i="10"/>
  <c r="W118" i="10"/>
  <c r="E49" i="10"/>
  <c r="E59" i="10"/>
  <c r="R75" i="10"/>
  <c r="G26" i="43"/>
  <c r="V119" i="10"/>
  <c r="S30" i="43"/>
  <c r="K47" i="10"/>
  <c r="X96" i="10"/>
  <c r="F94" i="10"/>
  <c r="I6" i="43"/>
  <c r="S26" i="43"/>
  <c r="M34" i="43"/>
  <c r="Q18" i="43"/>
  <c r="Y8" i="43"/>
  <c r="M81" i="10"/>
  <c r="Y24" i="10"/>
  <c r="P79" i="10"/>
  <c r="T104" i="10"/>
  <c r="Y26" i="43"/>
  <c r="W116" i="10"/>
  <c r="Q115" i="10"/>
  <c r="AA48" i="10"/>
  <c r="O103" i="10"/>
  <c r="AA102" i="10"/>
  <c r="M91" i="10"/>
  <c r="K110" i="10"/>
  <c r="E74" i="10"/>
  <c r="D69" i="10" l="1"/>
  <c r="E36" i="10"/>
  <c r="Q14" i="10"/>
  <c r="G2" i="96"/>
  <c r="G3" i="96"/>
  <c r="E38" i="42" l="1"/>
  <c r="L36" i="42"/>
  <c r="U11" i="11" s="1"/>
  <c r="AD46" i="66" s="1"/>
  <c r="H36" i="42"/>
  <c r="U9" i="11" s="1"/>
  <c r="AD28" i="66" s="1"/>
  <c r="F36" i="42"/>
  <c r="F38" i="42" s="1"/>
  <c r="AB18" i="42"/>
  <c r="Z18" i="42"/>
  <c r="Z36" i="42" s="1"/>
  <c r="U18" i="11" s="1"/>
  <c r="AS55" i="66" s="1"/>
  <c r="X18" i="42"/>
  <c r="X36" i="42" s="1"/>
  <c r="U17" i="11" s="1"/>
  <c r="AS46" i="66" s="1"/>
  <c r="V18" i="42"/>
  <c r="V36" i="42" s="1"/>
  <c r="U16" i="11" s="1"/>
  <c r="AS37" i="66" s="1"/>
  <c r="T18" i="42"/>
  <c r="T36" i="42" s="1"/>
  <c r="U15" i="11" s="1"/>
  <c r="AS28" i="66" s="1"/>
  <c r="R18" i="42"/>
  <c r="R36" i="42" s="1"/>
  <c r="U14" i="11" s="1"/>
  <c r="AS19" i="66" s="1"/>
  <c r="P18" i="42"/>
  <c r="P36" i="42" s="1"/>
  <c r="AS10" i="66" s="1"/>
  <c r="N18" i="42"/>
  <c r="N36" i="42" s="1"/>
  <c r="U12" i="11" s="1"/>
  <c r="AD55" i="66" s="1"/>
  <c r="J36" i="42"/>
  <c r="U10" i="11" s="1"/>
  <c r="AD37" i="66" s="1"/>
  <c r="D36" i="42"/>
  <c r="U7" i="11" s="1"/>
  <c r="Z17" i="42"/>
  <c r="X17" i="42"/>
  <c r="V17" i="42"/>
  <c r="T16" i="11" s="1"/>
  <c r="V10" i="10" s="1"/>
  <c r="T17" i="42"/>
  <c r="R17" i="42"/>
  <c r="N17" i="42"/>
  <c r="T12" i="11" s="1"/>
  <c r="AD54" i="66" s="1"/>
  <c r="L17" i="42"/>
  <c r="J17" i="42"/>
  <c r="T10" i="11" s="1"/>
  <c r="H17" i="42"/>
  <c r="D17" i="42"/>
  <c r="DI55" i="66"/>
  <c r="DA55" i="66"/>
  <c r="CT55" i="66"/>
  <c r="CL55" i="66"/>
  <c r="CE55" i="66"/>
  <c r="BW55" i="66"/>
  <c r="BP55" i="66"/>
  <c r="BH55" i="66"/>
  <c r="DI53" i="66"/>
  <c r="DA53" i="66"/>
  <c r="DD55" i="66" s="1"/>
  <c r="CT53" i="66"/>
  <c r="CL53" i="66"/>
  <c r="CO55" i="66" s="1"/>
  <c r="CE53" i="66"/>
  <c r="BW53" i="66"/>
  <c r="BP53" i="66"/>
  <c r="BK55" i="66" s="1"/>
  <c r="BH53" i="66"/>
  <c r="DI46" i="66"/>
  <c r="DA46" i="66"/>
  <c r="CT46" i="66"/>
  <c r="CL46" i="66"/>
  <c r="CE46" i="66"/>
  <c r="BW46" i="66"/>
  <c r="BP46" i="66"/>
  <c r="BH46" i="66"/>
  <c r="DI44" i="66"/>
  <c r="DA44" i="66"/>
  <c r="DD46" i="66" s="1"/>
  <c r="CT44" i="66"/>
  <c r="CL44" i="66"/>
  <c r="CO46" i="66" s="1"/>
  <c r="CE44" i="66"/>
  <c r="BW44" i="66"/>
  <c r="BZ46" i="66" s="1"/>
  <c r="BP44" i="66"/>
  <c r="BH44" i="66"/>
  <c r="DI37" i="66"/>
  <c r="DA37" i="66"/>
  <c r="CT37" i="66"/>
  <c r="CL37" i="66"/>
  <c r="CE37" i="66"/>
  <c r="BW37" i="66"/>
  <c r="BP37" i="66"/>
  <c r="BH37" i="66"/>
  <c r="DI35" i="66"/>
  <c r="DA35" i="66"/>
  <c r="DD37" i="66" s="1"/>
  <c r="CT35" i="66"/>
  <c r="CL35" i="66"/>
  <c r="CO37" i="66" s="1"/>
  <c r="CE35" i="66"/>
  <c r="BW35" i="66"/>
  <c r="BP35" i="66"/>
  <c r="BH35" i="66"/>
  <c r="DI28" i="66"/>
  <c r="DA28" i="66"/>
  <c r="CT28" i="66"/>
  <c r="CL28" i="66"/>
  <c r="CE28" i="66"/>
  <c r="BW28" i="66"/>
  <c r="BP28" i="66"/>
  <c r="BH28" i="66"/>
  <c r="DI26" i="66"/>
  <c r="DA26" i="66"/>
  <c r="CT26" i="66"/>
  <c r="CL26" i="66"/>
  <c r="CE26" i="66"/>
  <c r="BW26" i="66"/>
  <c r="BP26" i="66"/>
  <c r="BH26" i="66"/>
  <c r="DI19" i="66"/>
  <c r="DA19" i="66"/>
  <c r="CT19" i="66"/>
  <c r="CL19" i="66"/>
  <c r="CE19" i="66"/>
  <c r="BW19" i="66"/>
  <c r="BP19" i="66"/>
  <c r="BH19" i="66"/>
  <c r="DI17" i="66"/>
  <c r="DA17" i="66"/>
  <c r="DD19" i="66" s="1"/>
  <c r="CT17" i="66"/>
  <c r="CO19" i="66" s="1"/>
  <c r="CL17" i="66"/>
  <c r="CE17" i="66"/>
  <c r="BW17" i="66"/>
  <c r="BP17" i="66"/>
  <c r="BH17" i="66"/>
  <c r="DI10" i="66"/>
  <c r="DA10" i="66"/>
  <c r="CT10" i="66"/>
  <c r="CL10" i="66"/>
  <c r="CE10" i="66"/>
  <c r="BW10" i="66"/>
  <c r="BP10" i="66"/>
  <c r="BH10" i="66"/>
  <c r="DI8" i="66"/>
  <c r="DA8" i="66"/>
  <c r="DD10" i="66" s="1"/>
  <c r="CT8" i="66"/>
  <c r="CL8" i="66"/>
  <c r="CO10" i="66" s="1"/>
  <c r="CE8" i="66"/>
  <c r="BW8" i="66"/>
  <c r="BZ10" i="66" s="1"/>
  <c r="BP8" i="66"/>
  <c r="BH8" i="66"/>
  <c r="Z152" i="10"/>
  <c r="Z154" i="10" s="1"/>
  <c r="Z155" i="10" s="1"/>
  <c r="X152" i="10"/>
  <c r="X154" i="10" s="1"/>
  <c r="X155" i="10" s="1"/>
  <c r="V152" i="10"/>
  <c r="V154" i="10" s="1"/>
  <c r="V155" i="10" s="1"/>
  <c r="T152" i="10"/>
  <c r="T154" i="10" s="1"/>
  <c r="T155" i="10" s="1"/>
  <c r="R152" i="10"/>
  <c r="R154" i="10" s="1"/>
  <c r="R155" i="10" s="1"/>
  <c r="P152" i="10"/>
  <c r="P154" i="10" s="1"/>
  <c r="P155" i="10" s="1"/>
  <c r="N152" i="10"/>
  <c r="N154" i="10" s="1"/>
  <c r="N155" i="10" s="1"/>
  <c r="L152" i="10"/>
  <c r="L154" i="10" s="1"/>
  <c r="L155" i="10" s="1"/>
  <c r="J152" i="10"/>
  <c r="J154" i="10" s="1"/>
  <c r="J155" i="10" s="1"/>
  <c r="H152" i="10"/>
  <c r="H154" i="10" s="1"/>
  <c r="H155" i="10" s="1"/>
  <c r="F152" i="10"/>
  <c r="F154" i="10" s="1"/>
  <c r="F155" i="10" s="1"/>
  <c r="D152" i="10"/>
  <c r="D154" i="10" s="1"/>
  <c r="D155" i="10" s="1"/>
  <c r="Z143" i="10"/>
  <c r="Z145" i="10" s="1"/>
  <c r="Z146" i="10" s="1"/>
  <c r="X143" i="10"/>
  <c r="X145" i="10" s="1"/>
  <c r="X146" i="10" s="1"/>
  <c r="V143" i="10"/>
  <c r="V145" i="10" s="1"/>
  <c r="V146" i="10" s="1"/>
  <c r="T143" i="10"/>
  <c r="T145" i="10" s="1"/>
  <c r="T146" i="10" s="1"/>
  <c r="R143" i="10"/>
  <c r="R145" i="10" s="1"/>
  <c r="R146" i="10" s="1"/>
  <c r="P143" i="10"/>
  <c r="P145" i="10" s="1"/>
  <c r="P146" i="10" s="1"/>
  <c r="N143" i="10"/>
  <c r="N145" i="10" s="1"/>
  <c r="N146" i="10" s="1"/>
  <c r="L143" i="10"/>
  <c r="L145" i="10" s="1"/>
  <c r="L146" i="10" s="1"/>
  <c r="J143" i="10"/>
  <c r="J145" i="10" s="1"/>
  <c r="J146" i="10" s="1"/>
  <c r="H143" i="10"/>
  <c r="H145" i="10" s="1"/>
  <c r="F143" i="10"/>
  <c r="F145" i="10" s="1"/>
  <c r="F146" i="10" s="1"/>
  <c r="D143" i="10"/>
  <c r="D145" i="10" s="1"/>
  <c r="D146" i="10" s="1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A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Z36" i="10"/>
  <c r="X36" i="10"/>
  <c r="V36" i="10"/>
  <c r="T36" i="10"/>
  <c r="R36" i="10"/>
  <c r="P36" i="10"/>
  <c r="N36" i="10"/>
  <c r="L36" i="10"/>
  <c r="J36" i="10"/>
  <c r="F36" i="10"/>
  <c r="D36" i="10"/>
  <c r="C15" i="10"/>
  <c r="Z14" i="10"/>
  <c r="X14" i="10"/>
  <c r="V14" i="10"/>
  <c r="T14" i="10"/>
  <c r="R14" i="10"/>
  <c r="P14" i="10"/>
  <c r="N14" i="10"/>
  <c r="L14" i="10"/>
  <c r="J14" i="10"/>
  <c r="F14" i="10"/>
  <c r="D14" i="10"/>
  <c r="G29" i="11"/>
  <c r="G28" i="11"/>
  <c r="C28" i="11"/>
  <c r="G27" i="11"/>
  <c r="C27" i="11"/>
  <c r="X19" i="11"/>
  <c r="N19" i="11"/>
  <c r="I19" i="11"/>
  <c r="D19" i="11"/>
  <c r="C19" i="11"/>
  <c r="D21" i="11" s="1"/>
  <c r="AC18" i="11"/>
  <c r="Z18" i="11"/>
  <c r="Y18" i="11"/>
  <c r="W18" i="11"/>
  <c r="AC17" i="11"/>
  <c r="Z17" i="11"/>
  <c r="Y17" i="11"/>
  <c r="W17" i="11"/>
  <c r="T17" i="11"/>
  <c r="X10" i="10" s="1"/>
  <c r="AC16" i="11"/>
  <c r="Z16" i="11"/>
  <c r="Y16" i="11"/>
  <c r="W16" i="11"/>
  <c r="AC15" i="11"/>
  <c r="Z15" i="11"/>
  <c r="Y15" i="11"/>
  <c r="W15" i="11"/>
  <c r="T15" i="11"/>
  <c r="AC14" i="11"/>
  <c r="Z14" i="11"/>
  <c r="Y14" i="11"/>
  <c r="W14" i="11"/>
  <c r="T14" i="11"/>
  <c r="AC13" i="11"/>
  <c r="Z13" i="11"/>
  <c r="Y13" i="11"/>
  <c r="W13" i="11"/>
  <c r="T13" i="11"/>
  <c r="P10" i="10" s="1"/>
  <c r="AC12" i="11"/>
  <c r="Z12" i="11"/>
  <c r="Y12" i="11"/>
  <c r="W12" i="11"/>
  <c r="AC11" i="11"/>
  <c r="Z11" i="11"/>
  <c r="Y11" i="11"/>
  <c r="W11" i="11"/>
  <c r="AC10" i="11"/>
  <c r="Z10" i="11"/>
  <c r="Y10" i="11"/>
  <c r="W10" i="11"/>
  <c r="L10" i="11" s="1"/>
  <c r="AC9" i="11"/>
  <c r="Z9" i="11"/>
  <c r="Y9" i="11"/>
  <c r="W9" i="11"/>
  <c r="L9" i="11" s="1"/>
  <c r="T9" i="11"/>
  <c r="H10" i="10" s="1"/>
  <c r="AC8" i="11"/>
  <c r="Z8" i="11"/>
  <c r="Y8" i="11"/>
  <c r="W8" i="11"/>
  <c r="T8" i="11"/>
  <c r="AD18" i="66" s="1"/>
  <c r="AM21" i="66" s="1"/>
  <c r="AC7" i="11"/>
  <c r="Z7" i="11"/>
  <c r="Y7" i="11"/>
  <c r="L38" i="42" l="1"/>
  <c r="L14" i="11"/>
  <c r="P14" i="11" s="1"/>
  <c r="L16" i="11"/>
  <c r="P16" i="11" s="1"/>
  <c r="L11" i="11"/>
  <c r="P11" i="11" s="1"/>
  <c r="L18" i="11"/>
  <c r="P18" i="11" s="1"/>
  <c r="L13" i="11"/>
  <c r="P13" i="11" s="1"/>
  <c r="L15" i="11"/>
  <c r="P15" i="11" s="1"/>
  <c r="L12" i="11"/>
  <c r="P12" i="11" s="1"/>
  <c r="L17" i="11"/>
  <c r="P17" i="11" s="1"/>
  <c r="CO28" i="66"/>
  <c r="BK19" i="66"/>
  <c r="BK10" i="66"/>
  <c r="BZ19" i="66"/>
  <c r="BK46" i="66"/>
  <c r="M19" i="11"/>
  <c r="DD28" i="66"/>
  <c r="V17" i="11"/>
  <c r="V15" i="11"/>
  <c r="K15" i="11" s="1"/>
  <c r="BZ28" i="66"/>
  <c r="BZ37" i="66"/>
  <c r="BZ55" i="66"/>
  <c r="R10" i="10"/>
  <c r="AS18" i="66"/>
  <c r="AS27" i="66"/>
  <c r="T10" i="10"/>
  <c r="BK37" i="66"/>
  <c r="BK28" i="66"/>
  <c r="T11" i="11"/>
  <c r="AD45" i="66" s="1"/>
  <c r="Z38" i="42"/>
  <c r="T18" i="11"/>
  <c r="AS54" i="66" s="1"/>
  <c r="X38" i="42"/>
  <c r="V38" i="42"/>
  <c r="AS36" i="66"/>
  <c r="T38" i="42"/>
  <c r="R38" i="42"/>
  <c r="U13" i="11"/>
  <c r="P38" i="42"/>
  <c r="N38" i="42"/>
  <c r="J19" i="11"/>
  <c r="N10" i="10"/>
  <c r="AS45" i="66"/>
  <c r="D38" i="42"/>
  <c r="V14" i="11"/>
  <c r="K14" i="11" s="1"/>
  <c r="V16" i="11"/>
  <c r="K16" i="11" s="1"/>
  <c r="V18" i="11"/>
  <c r="K18" i="11" s="1"/>
  <c r="Z19" i="11"/>
  <c r="Y19" i="11"/>
  <c r="H38" i="42"/>
  <c r="I38" i="42" s="1"/>
  <c r="J10" i="10"/>
  <c r="AD36" i="66"/>
  <c r="AD10" i="66"/>
  <c r="F10" i="10"/>
  <c r="J38" i="42"/>
  <c r="U8" i="11"/>
  <c r="AD19" i="66" s="1"/>
  <c r="AD27" i="66"/>
  <c r="T7" i="11"/>
  <c r="V11" i="11"/>
  <c r="K11" i="11" s="1"/>
  <c r="V12" i="11"/>
  <c r="K12" i="11" s="1"/>
  <c r="V10" i="11"/>
  <c r="V8" i="11"/>
  <c r="V9" i="11"/>
  <c r="K9" i="11" s="1"/>
  <c r="V13" i="11"/>
  <c r="K13" i="11" s="1"/>
  <c r="P8" i="11"/>
  <c r="P7" i="11"/>
  <c r="P10" i="11"/>
  <c r="W19" i="11"/>
  <c r="K17" i="11" l="1"/>
  <c r="O17" i="11" s="1"/>
  <c r="K10" i="11"/>
  <c r="O10" i="11" s="1"/>
  <c r="Q9" i="11"/>
  <c r="R9" i="11" s="1"/>
  <c r="Z10" i="10"/>
  <c r="Q17" i="11"/>
  <c r="R17" i="11" s="1"/>
  <c r="L10" i="10"/>
  <c r="AA38" i="42"/>
  <c r="Y38" i="42"/>
  <c r="W38" i="42"/>
  <c r="U38" i="42"/>
  <c r="S38" i="42"/>
  <c r="Q38" i="42"/>
  <c r="O38" i="42"/>
  <c r="K38" i="42"/>
  <c r="G38" i="42"/>
  <c r="G17" i="11"/>
  <c r="S17" i="11" s="1"/>
  <c r="X8" i="10" s="1"/>
  <c r="M38" i="42"/>
  <c r="U19" i="11"/>
  <c r="T19" i="11"/>
  <c r="AD9" i="66"/>
  <c r="D10" i="10"/>
  <c r="V7" i="11"/>
  <c r="H19" i="11"/>
  <c r="Q8" i="11"/>
  <c r="R8" i="11" s="1"/>
  <c r="G10" i="11"/>
  <c r="S10" i="11" s="1"/>
  <c r="J8" i="10" s="1"/>
  <c r="O16" i="11"/>
  <c r="G16" i="11" s="1"/>
  <c r="S16" i="11" s="1"/>
  <c r="AS35" i="66" s="1"/>
  <c r="Q16" i="11"/>
  <c r="R16" i="11" s="1"/>
  <c r="O13" i="11"/>
  <c r="S13" i="11" s="1"/>
  <c r="P8" i="10" s="1"/>
  <c r="Q13" i="11"/>
  <c r="R13" i="11" s="1"/>
  <c r="Q15" i="11"/>
  <c r="R15" i="11" s="1"/>
  <c r="O15" i="11"/>
  <c r="G15" i="11" s="1"/>
  <c r="S15" i="11" s="1"/>
  <c r="AS26" i="66" s="1"/>
  <c r="O12" i="11"/>
  <c r="G12" i="11" s="1"/>
  <c r="AD53" i="66" s="1"/>
  <c r="Q12" i="11"/>
  <c r="R12" i="11" s="1"/>
  <c r="P9" i="11"/>
  <c r="F19" i="11" s="1"/>
  <c r="Q18" i="11"/>
  <c r="R18" i="11" s="1"/>
  <c r="O18" i="11"/>
  <c r="AS53" i="66" s="1"/>
  <c r="L19" i="11"/>
  <c r="O14" i="11"/>
  <c r="G14" i="11" s="1"/>
  <c r="S14" i="11" s="1"/>
  <c r="AS17" i="66" s="1"/>
  <c r="Q14" i="11"/>
  <c r="R14" i="11" s="1"/>
  <c r="O11" i="11"/>
  <c r="G11" i="11" s="1"/>
  <c r="S11" i="11" s="1"/>
  <c r="L8" i="10" s="1"/>
  <c r="G8" i="11"/>
  <c r="G7" i="11"/>
  <c r="Q10" i="11"/>
  <c r="R10" i="11" s="1"/>
  <c r="O9" i="11" l="1"/>
  <c r="AS44" i="66"/>
  <c r="AD35" i="66"/>
  <c r="G9" i="11"/>
  <c r="AD26" i="66" s="1"/>
  <c r="V19" i="11"/>
  <c r="V8" i="10"/>
  <c r="AD44" i="66"/>
  <c r="R8" i="10"/>
  <c r="S12" i="11"/>
  <c r="N8" i="10" s="1"/>
  <c r="Q11" i="11"/>
  <c r="R11" i="11" s="1"/>
  <c r="E19" i="11"/>
  <c r="G18" i="11"/>
  <c r="S18" i="11" s="1"/>
  <c r="Z8" i="10" s="1"/>
  <c r="AD8" i="66"/>
  <c r="S7" i="11"/>
  <c r="D8" i="10" s="1"/>
  <c r="AD17" i="66"/>
  <c r="S8" i="11"/>
  <c r="F8" i="10" s="1"/>
  <c r="T8" i="10"/>
  <c r="S9" i="11" l="1"/>
  <c r="H8" i="10" s="1"/>
  <c r="AE8" i="10"/>
  <c r="O7" i="11"/>
  <c r="K19" i="11"/>
  <c r="Q7" i="11"/>
  <c r="R7" i="11" s="1"/>
  <c r="G19" i="11"/>
  <c r="G10" i="43"/>
  <c r="E69" i="10" l="1"/>
  <c r="N69" i="10"/>
  <c r="N124" i="10" s="1"/>
  <c r="N136" i="10" s="1"/>
  <c r="AF108" i="10"/>
  <c r="I56" i="43"/>
  <c r="J29" i="43" s="1"/>
  <c r="AF107" i="10"/>
  <c r="AF109" i="10"/>
  <c r="AF110" i="10"/>
  <c r="AE45" i="43"/>
  <c r="AF79" i="10"/>
  <c r="AE8" i="43"/>
  <c r="AF83" i="10"/>
  <c r="AF100" i="10"/>
  <c r="AE33" i="43"/>
  <c r="O36" i="10"/>
  <c r="S36" i="10"/>
  <c r="M69" i="10"/>
  <c r="I36" i="10"/>
  <c r="Q56" i="43"/>
  <c r="R8" i="43" s="1"/>
  <c r="AE14" i="43"/>
  <c r="AF96" i="10"/>
  <c r="AE34" i="43"/>
  <c r="AF91" i="10"/>
  <c r="AF87" i="10"/>
  <c r="AF81" i="10"/>
  <c r="AF80" i="10"/>
  <c r="AE6" i="43"/>
  <c r="AE16" i="43"/>
  <c r="W14" i="10"/>
  <c r="AE42" i="43"/>
  <c r="G14" i="10"/>
  <c r="AE39" i="43"/>
  <c r="AE40" i="43"/>
  <c r="AF114" i="10"/>
  <c r="O69" i="10"/>
  <c r="O14" i="10"/>
  <c r="AF73" i="10"/>
  <c r="AE38" i="43"/>
  <c r="AE44" i="43"/>
  <c r="E14" i="10"/>
  <c r="G56" i="43"/>
  <c r="AA14" i="10"/>
  <c r="G36" i="10"/>
  <c r="AF117" i="10"/>
  <c r="Q69" i="10"/>
  <c r="AE31" i="43"/>
  <c r="AE26" i="43"/>
  <c r="Q36" i="10"/>
  <c r="AF74" i="10"/>
  <c r="AF88" i="10"/>
  <c r="AF113" i="10"/>
  <c r="Z69" i="10"/>
  <c r="Z124" i="10" s="1"/>
  <c r="Z136" i="10" s="1"/>
  <c r="Y69" i="10"/>
  <c r="W69" i="10"/>
  <c r="AE19" i="43"/>
  <c r="AF92" i="10"/>
  <c r="G69" i="10"/>
  <c r="AF72" i="10"/>
  <c r="AF76" i="10"/>
  <c r="AE46" i="43"/>
  <c r="M56" i="43"/>
  <c r="N9" i="43" s="1"/>
  <c r="AF82" i="10"/>
  <c r="AF97" i="10"/>
  <c r="Y36" i="10"/>
  <c r="AF116" i="10"/>
  <c r="U14" i="10"/>
  <c r="AF85" i="10"/>
  <c r="AE50" i="43"/>
  <c r="AF101" i="10"/>
  <c r="AE17" i="43"/>
  <c r="AF94" i="10"/>
  <c r="AE21" i="43"/>
  <c r="AE23" i="43"/>
  <c r="V69" i="10"/>
  <c r="V124" i="10" s="1"/>
  <c r="V136" i="10" s="1"/>
  <c r="AE12" i="43"/>
  <c r="L69" i="10"/>
  <c r="L124" i="10" s="1"/>
  <c r="L126" i="10" s="1"/>
  <c r="L128" i="10" s="1"/>
  <c r="F69" i="10"/>
  <c r="AF93" i="10"/>
  <c r="AE37" i="43"/>
  <c r="AF106" i="10"/>
  <c r="AE28" i="43"/>
  <c r="S14" i="10"/>
  <c r="I14" i="10"/>
  <c r="X69" i="10"/>
  <c r="X124" i="10" s="1"/>
  <c r="X135" i="10" s="1"/>
  <c r="AF78" i="10"/>
  <c r="AF86" i="10"/>
  <c r="AF90" i="10"/>
  <c r="AE5" i="43"/>
  <c r="AE13" i="43"/>
  <c r="AE47" i="43"/>
  <c r="AE27" i="43"/>
  <c r="AE22" i="43"/>
  <c r="AE7" i="43"/>
  <c r="AF111" i="10"/>
  <c r="AA69" i="10"/>
  <c r="AF77" i="10"/>
  <c r="AF84" i="10"/>
  <c r="AF102" i="10"/>
  <c r="AE53" i="43"/>
  <c r="U36" i="10"/>
  <c r="AF99" i="10"/>
  <c r="U56" i="43"/>
  <c r="V48" i="43" s="1"/>
  <c r="AF121" i="10"/>
  <c r="D136" i="10"/>
  <c r="AF122" i="10"/>
  <c r="AE35" i="43"/>
  <c r="AE43" i="43"/>
  <c r="Y14" i="10"/>
  <c r="R69" i="10"/>
  <c r="R124" i="10" s="1"/>
  <c r="R134" i="10" s="1"/>
  <c r="AF119" i="10"/>
  <c r="W36" i="10"/>
  <c r="AE20" i="43"/>
  <c r="AF89" i="10"/>
  <c r="AE49" i="43"/>
  <c r="P69" i="10"/>
  <c r="P124" i="10" s="1"/>
  <c r="P126" i="10" s="1"/>
  <c r="P128" i="10" s="1"/>
  <c r="AE15" i="43"/>
  <c r="AF105" i="10"/>
  <c r="AF112" i="10"/>
  <c r="AF103" i="10"/>
  <c r="AF118" i="10"/>
  <c r="T69" i="10"/>
  <c r="T124" i="10" s="1"/>
  <c r="T135" i="10" s="1"/>
  <c r="U69" i="10"/>
  <c r="AE18" i="43"/>
  <c r="AF98" i="10"/>
  <c r="S69" i="10"/>
  <c r="AE29" i="43"/>
  <c r="AE9" i="43"/>
  <c r="H69" i="10"/>
  <c r="Y56" i="43"/>
  <c r="Z51" i="43" s="1"/>
  <c r="AE36" i="43"/>
  <c r="AF120" i="10"/>
  <c r="AE54" i="43"/>
  <c r="AF115" i="10"/>
  <c r="AF104" i="10"/>
  <c r="AE24" i="43"/>
  <c r="AE51" i="43"/>
  <c r="AE11" i="43"/>
  <c r="AA36" i="10"/>
  <c r="AE55" i="43"/>
  <c r="AE32" i="43"/>
  <c r="AE48" i="43"/>
  <c r="AE52" i="43"/>
  <c r="AE41" i="43"/>
  <c r="AE10" i="43"/>
  <c r="AE30" i="43"/>
  <c r="AF71" i="10"/>
  <c r="AF75" i="10"/>
  <c r="AF95" i="10"/>
  <c r="AE25" i="43"/>
  <c r="S19" i="11"/>
  <c r="Q19" i="11"/>
  <c r="R19" i="11" s="1"/>
  <c r="W124" i="10" l="1"/>
  <c r="W136" i="10" s="1"/>
  <c r="S124" i="10"/>
  <c r="BA17" i="66" s="1"/>
  <c r="AV19" i="66" s="1"/>
  <c r="R42" i="43"/>
  <c r="R6" i="43"/>
  <c r="R45" i="43"/>
  <c r="R34" i="43"/>
  <c r="R29" i="43"/>
  <c r="R17" i="43"/>
  <c r="R43" i="43"/>
  <c r="R54" i="43"/>
  <c r="R16" i="43"/>
  <c r="R46" i="43"/>
  <c r="R55" i="43"/>
  <c r="R9" i="43"/>
  <c r="R32" i="43"/>
  <c r="R41" i="43"/>
  <c r="R21" i="43"/>
  <c r="R19" i="43"/>
  <c r="R13" i="43"/>
  <c r="R14" i="43"/>
  <c r="R27" i="43"/>
  <c r="R28" i="43"/>
  <c r="R52" i="43"/>
  <c r="R10" i="43"/>
  <c r="R36" i="43"/>
  <c r="R18" i="43"/>
  <c r="R38" i="43"/>
  <c r="R5" i="43"/>
  <c r="N27" i="43"/>
  <c r="N38" i="43"/>
  <c r="N14" i="43"/>
  <c r="N40" i="43"/>
  <c r="N54" i="43"/>
  <c r="N46" i="43"/>
  <c r="N6" i="43"/>
  <c r="N10" i="43"/>
  <c r="N24" i="43"/>
  <c r="N22" i="43"/>
  <c r="N5" i="43"/>
  <c r="N7" i="43"/>
  <c r="N39" i="43"/>
  <c r="P134" i="10"/>
  <c r="N33" i="43"/>
  <c r="N47" i="43"/>
  <c r="N28" i="43"/>
  <c r="N55" i="43"/>
  <c r="N36" i="43"/>
  <c r="N15" i="43"/>
  <c r="Z135" i="10"/>
  <c r="Z137" i="10"/>
  <c r="N26" i="43"/>
  <c r="N21" i="43"/>
  <c r="N41" i="43"/>
  <c r="N13" i="43"/>
  <c r="N4" i="43"/>
  <c r="N32" i="43"/>
  <c r="N45" i="43"/>
  <c r="H4" i="43"/>
  <c r="H5" i="43"/>
  <c r="J33" i="43"/>
  <c r="J49" i="43"/>
  <c r="R136" i="10"/>
  <c r="P137" i="10"/>
  <c r="P135" i="10"/>
  <c r="N12" i="43"/>
  <c r="N56" i="43"/>
  <c r="N23" i="43"/>
  <c r="N49" i="43"/>
  <c r="N11" i="43"/>
  <c r="N19" i="43"/>
  <c r="N34" i="43"/>
  <c r="N31" i="43"/>
  <c r="N8" i="43"/>
  <c r="N30" i="43"/>
  <c r="N37" i="43"/>
  <c r="N20" i="43"/>
  <c r="N52" i="43"/>
  <c r="R7" i="43"/>
  <c r="R30" i="43"/>
  <c r="R15" i="43"/>
  <c r="P136" i="10"/>
  <c r="R12" i="43"/>
  <c r="R47" i="43"/>
  <c r="R53" i="43"/>
  <c r="R24" i="43"/>
  <c r="R25" i="43"/>
  <c r="R44" i="43"/>
  <c r="R40" i="43"/>
  <c r="Z134" i="10"/>
  <c r="R35" i="43"/>
  <c r="R39" i="43"/>
  <c r="R51" i="43"/>
  <c r="AA124" i="10"/>
  <c r="AA136" i="10" s="1"/>
  <c r="N50" i="43"/>
  <c r="N43" i="43"/>
  <c r="N35" i="43"/>
  <c r="N53" i="43"/>
  <c r="N25" i="43"/>
  <c r="N44" i="43"/>
  <c r="N29" i="43"/>
  <c r="N51" i="43"/>
  <c r="N18" i="43"/>
  <c r="N17" i="43"/>
  <c r="N42" i="43"/>
  <c r="N16" i="43"/>
  <c r="N48" i="43"/>
  <c r="R50" i="43"/>
  <c r="R4" i="43"/>
  <c r="R31" i="43"/>
  <c r="R49" i="43"/>
  <c r="R22" i="43"/>
  <c r="R23" i="43"/>
  <c r="R33" i="43"/>
  <c r="R26" i="43"/>
  <c r="R48" i="43"/>
  <c r="Z126" i="10"/>
  <c r="Z128" i="10" s="1"/>
  <c r="R37" i="43"/>
  <c r="R56" i="43"/>
  <c r="R11" i="43"/>
  <c r="R20" i="43"/>
  <c r="O124" i="10"/>
  <c r="AL53" i="66" s="1"/>
  <c r="AG55" i="66" s="1"/>
  <c r="AG56" i="66" s="1"/>
  <c r="J12" i="43"/>
  <c r="J48" i="43"/>
  <c r="J35" i="43"/>
  <c r="V15" i="43"/>
  <c r="V4" i="43"/>
  <c r="J52" i="43"/>
  <c r="V18" i="43"/>
  <c r="Q124" i="10"/>
  <c r="Q134" i="10" s="1"/>
  <c r="J23" i="43"/>
  <c r="J18" i="43"/>
  <c r="J37" i="43"/>
  <c r="J36" i="43"/>
  <c r="J53" i="43"/>
  <c r="J6" i="43"/>
  <c r="T136" i="10"/>
  <c r="V22" i="43"/>
  <c r="V19" i="43"/>
  <c r="V42" i="43"/>
  <c r="V27" i="43"/>
  <c r="J11" i="43"/>
  <c r="J19" i="43"/>
  <c r="J17" i="43"/>
  <c r="J39" i="43"/>
  <c r="J30" i="43"/>
  <c r="J38" i="43"/>
  <c r="J43" i="43"/>
  <c r="J16" i="43"/>
  <c r="V28" i="43"/>
  <c r="V10" i="43"/>
  <c r="V49" i="43"/>
  <c r="T137" i="10"/>
  <c r="V14" i="43"/>
  <c r="J25" i="43"/>
  <c r="J27" i="43"/>
  <c r="J42" i="43"/>
  <c r="J47" i="43"/>
  <c r="J54" i="43"/>
  <c r="J51" i="43"/>
  <c r="J13" i="43"/>
  <c r="J56" i="43"/>
  <c r="V39" i="43"/>
  <c r="V26" i="43"/>
  <c r="V37" i="43"/>
  <c r="V40" i="43"/>
  <c r="Z11" i="43"/>
  <c r="E124" i="10"/>
  <c r="E126" i="10" s="1"/>
  <c r="E128" i="10" s="1"/>
  <c r="J34" i="43"/>
  <c r="J7" i="43"/>
  <c r="J45" i="43"/>
  <c r="J24" i="43"/>
  <c r="J22" i="43"/>
  <c r="J10" i="43"/>
  <c r="J5" i="43"/>
  <c r="J44" i="43"/>
  <c r="J50" i="43"/>
  <c r="J41" i="43"/>
  <c r="J31" i="43"/>
  <c r="J26" i="43"/>
  <c r="J4" i="43"/>
  <c r="V8" i="43"/>
  <c r="V12" i="43"/>
  <c r="V34" i="43"/>
  <c r="V5" i="43"/>
  <c r="V52" i="43"/>
  <c r="V31" i="43"/>
  <c r="V50" i="43"/>
  <c r="V45" i="43"/>
  <c r="V13" i="43"/>
  <c r="V32" i="43"/>
  <c r="J15" i="43"/>
  <c r="J20" i="43"/>
  <c r="J14" i="43"/>
  <c r="J8" i="43"/>
  <c r="J46" i="43"/>
  <c r="J32" i="43"/>
  <c r="J28" i="43"/>
  <c r="J40" i="43"/>
  <c r="J21" i="43"/>
  <c r="J55" i="43"/>
  <c r="J9" i="43"/>
  <c r="T134" i="10"/>
  <c r="V23" i="43"/>
  <c r="V24" i="43"/>
  <c r="V9" i="43"/>
  <c r="V7" i="43"/>
  <c r="V44" i="43"/>
  <c r="V43" i="43"/>
  <c r="V17" i="43"/>
  <c r="V6" i="43"/>
  <c r="V46" i="43"/>
  <c r="V30" i="43"/>
  <c r="V35" i="43"/>
  <c r="V20" i="43"/>
  <c r="V33" i="43"/>
  <c r="V25" i="43"/>
  <c r="V36" i="43"/>
  <c r="V16" i="43"/>
  <c r="V54" i="43"/>
  <c r="V29" i="43"/>
  <c r="V11" i="43"/>
  <c r="V41" i="43"/>
  <c r="V51" i="43"/>
  <c r="V53" i="43"/>
  <c r="V55" i="43"/>
  <c r="V56" i="43"/>
  <c r="V21" i="43"/>
  <c r="V38" i="43"/>
  <c r="V47" i="43"/>
  <c r="G124" i="10"/>
  <c r="G134" i="10" s="1"/>
  <c r="T126" i="10"/>
  <c r="T128" i="10" s="1"/>
  <c r="U124" i="10"/>
  <c r="W134" i="10"/>
  <c r="Z10" i="43"/>
  <c r="X126" i="10"/>
  <c r="X128" i="10" s="1"/>
  <c r="Z7" i="43"/>
  <c r="X134" i="10"/>
  <c r="Z39" i="43"/>
  <c r="Z42" i="43"/>
  <c r="Z31" i="43"/>
  <c r="Z24" i="43"/>
  <c r="Z40" i="43"/>
  <c r="Z44" i="43"/>
  <c r="Z15" i="43"/>
  <c r="Z30" i="43"/>
  <c r="Z48" i="43"/>
  <c r="Y124" i="10"/>
  <c r="Y134" i="10" s="1"/>
  <c r="X136" i="10"/>
  <c r="Z45" i="43"/>
  <c r="Z36" i="43"/>
  <c r="Z14" i="43"/>
  <c r="Z5" i="43"/>
  <c r="Z27" i="43"/>
  <c r="Z19" i="43"/>
  <c r="Z37" i="43"/>
  <c r="Z41" i="43"/>
  <c r="Z20" i="43"/>
  <c r="Z46" i="43"/>
  <c r="Z13" i="43"/>
  <c r="Z53" i="43"/>
  <c r="Z34" i="43"/>
  <c r="Z21" i="43"/>
  <c r="L137" i="10"/>
  <c r="Z28" i="43"/>
  <c r="Z50" i="43"/>
  <c r="Z23" i="43"/>
  <c r="Z6" i="43"/>
  <c r="Z22" i="43"/>
  <c r="Z8" i="43"/>
  <c r="D124" i="10"/>
  <c r="D135" i="10" s="1"/>
  <c r="Z33" i="43"/>
  <c r="Z35" i="43"/>
  <c r="Z12" i="43"/>
  <c r="Z52" i="43"/>
  <c r="Z55" i="43"/>
  <c r="Z32" i="43"/>
  <c r="Z16" i="43"/>
  <c r="L135" i="10"/>
  <c r="L134" i="10"/>
  <c r="X137" i="10"/>
  <c r="Z26" i="43"/>
  <c r="Z38" i="43"/>
  <c r="Z47" i="43"/>
  <c r="Z18" i="43"/>
  <c r="Z49" i="43"/>
  <c r="Z56" i="43"/>
  <c r="Z9" i="43"/>
  <c r="Z17" i="43"/>
  <c r="Z29" i="43"/>
  <c r="Z25" i="43"/>
  <c r="Z4" i="43"/>
  <c r="Z54" i="43"/>
  <c r="Z43" i="43"/>
  <c r="L136" i="10"/>
  <c r="R135" i="10"/>
  <c r="R137" i="10"/>
  <c r="R126" i="10"/>
  <c r="R128" i="10" s="1"/>
  <c r="F124" i="10"/>
  <c r="F136" i="10"/>
  <c r="BA35" i="66"/>
  <c r="AV37" i="66" s="1"/>
  <c r="AV38" i="66" s="1"/>
  <c r="N134" i="10"/>
  <c r="N135" i="10"/>
  <c r="N126" i="10"/>
  <c r="N128" i="10" s="1"/>
  <c r="N137" i="10"/>
  <c r="V135" i="10"/>
  <c r="V134" i="10"/>
  <c r="V137" i="10"/>
  <c r="V126" i="10"/>
  <c r="V128" i="10" s="1"/>
  <c r="J69" i="10"/>
  <c r="K69" i="10"/>
  <c r="M36" i="10"/>
  <c r="M14" i="10"/>
  <c r="W135" i="10" l="1"/>
  <c r="W137" i="10"/>
  <c r="W126" i="10"/>
  <c r="W128" i="10" s="1"/>
  <c r="O126" i="10"/>
  <c r="O128" i="10" s="1"/>
  <c r="AV20" i="66"/>
  <c r="AS30" i="66"/>
  <c r="U134" i="10"/>
  <c r="U126" i="10"/>
  <c r="U128" i="10" s="1"/>
  <c r="BA53" i="66"/>
  <c r="AV55" i="66" s="1"/>
  <c r="AV56" i="66" s="1"/>
  <c r="AA126" i="10"/>
  <c r="AA128" i="10" s="1"/>
  <c r="O135" i="10"/>
  <c r="AA135" i="10"/>
  <c r="O137" i="10"/>
  <c r="AA137" i="10"/>
  <c r="O136" i="10"/>
  <c r="AA134" i="10"/>
  <c r="O134" i="10"/>
  <c r="E137" i="10"/>
  <c r="E135" i="10"/>
  <c r="E136" i="10"/>
  <c r="E134" i="10"/>
  <c r="AL8" i="66"/>
  <c r="AG10" i="66" s="1"/>
  <c r="AG11" i="66" s="1"/>
  <c r="Q137" i="10"/>
  <c r="BA8" i="66"/>
  <c r="AV10" i="66" s="1"/>
  <c r="Q136" i="10"/>
  <c r="Q135" i="10"/>
  <c r="Q126" i="10"/>
  <c r="Q128" i="10" s="1"/>
  <c r="U136" i="10"/>
  <c r="G136" i="10"/>
  <c r="G126" i="10"/>
  <c r="G128" i="10" s="1"/>
  <c r="AL17" i="66"/>
  <c r="AG19" i="66" s="1"/>
  <c r="AG20" i="66" s="1"/>
  <c r="G135" i="10"/>
  <c r="G137" i="10"/>
  <c r="BA26" i="66"/>
  <c r="AV28" i="66" s="1"/>
  <c r="AV29" i="66" s="1"/>
  <c r="U135" i="10"/>
  <c r="S137" i="10"/>
  <c r="Y137" i="10"/>
  <c r="S126" i="10"/>
  <c r="S128" i="10" s="1"/>
  <c r="S135" i="10"/>
  <c r="Y135" i="10"/>
  <c r="Y126" i="10"/>
  <c r="Y128" i="10" s="1"/>
  <c r="S134" i="10"/>
  <c r="BA44" i="66"/>
  <c r="AV46" i="66" s="1"/>
  <c r="AV47" i="66" s="1"/>
  <c r="Y136" i="10"/>
  <c r="S136" i="10"/>
  <c r="U137" i="10"/>
  <c r="D137" i="10"/>
  <c r="D126" i="10"/>
  <c r="D128" i="10" s="1"/>
  <c r="D134" i="10"/>
  <c r="F137" i="10"/>
  <c r="F134" i="10"/>
  <c r="F126" i="10"/>
  <c r="F128" i="10" s="1"/>
  <c r="F135" i="10"/>
  <c r="M124" i="10"/>
  <c r="M126" i="10" s="1"/>
  <c r="J124" i="10"/>
  <c r="J136" i="10" s="1"/>
  <c r="AV11" i="66" l="1"/>
  <c r="M134" i="10"/>
  <c r="J134" i="10"/>
  <c r="J137" i="10"/>
  <c r="J126" i="10"/>
  <c r="J128" i="10" s="1"/>
  <c r="J135" i="10"/>
  <c r="M135" i="10"/>
  <c r="M128" i="10"/>
  <c r="M136" i="10"/>
  <c r="AL44" i="66"/>
  <c r="AG46" i="66" s="1"/>
  <c r="AG47" i="66" s="1"/>
  <c r="M137" i="10"/>
  <c r="H14" i="43" l="1"/>
  <c r="AF47" i="10" l="1"/>
  <c r="H12" i="43"/>
  <c r="H25" i="43"/>
  <c r="H49" i="43"/>
  <c r="H53" i="43"/>
  <c r="H27" i="43"/>
  <c r="H40" i="43"/>
  <c r="H22" i="43"/>
  <c r="H29" i="43"/>
  <c r="H32" i="43"/>
  <c r="H42" i="43"/>
  <c r="H23" i="43"/>
  <c r="H19" i="43"/>
  <c r="H39" i="43"/>
  <c r="H45" i="43"/>
  <c r="H37" i="43"/>
  <c r="H20" i="43"/>
  <c r="H16" i="43"/>
  <c r="H51" i="43"/>
  <c r="H52" i="43"/>
  <c r="H17" i="43"/>
  <c r="H47" i="43"/>
  <c r="H34" i="43"/>
  <c r="H54" i="43"/>
  <c r="H35" i="43"/>
  <c r="H46" i="43"/>
  <c r="H50" i="43"/>
  <c r="H41" i="43"/>
  <c r="H28" i="43"/>
  <c r="H48" i="43"/>
  <c r="H36" i="43"/>
  <c r="H6" i="43"/>
  <c r="H38" i="43"/>
  <c r="H24" i="43"/>
  <c r="H56" i="43"/>
  <c r="H44" i="43"/>
  <c r="H15" i="43"/>
  <c r="H21" i="43"/>
  <c r="H26" i="43"/>
  <c r="H31" i="43"/>
  <c r="H30" i="43"/>
  <c r="H33" i="43"/>
  <c r="H13" i="43"/>
  <c r="H55" i="43"/>
  <c r="H18" i="43"/>
  <c r="H43" i="43"/>
  <c r="H11" i="43"/>
  <c r="H9" i="43"/>
  <c r="H10" i="43"/>
  <c r="H8" i="43"/>
  <c r="H7" i="43"/>
  <c r="AE4" i="43" l="1"/>
  <c r="K56" i="43"/>
  <c r="L4" i="43" s="1"/>
  <c r="I69" i="10"/>
  <c r="H146" i="10" s="1"/>
  <c r="AF70" i="10"/>
  <c r="AF69" i="10" s="1"/>
  <c r="AF44" i="10"/>
  <c r="AF64" i="10"/>
  <c r="AF39" i="10"/>
  <c r="AF56" i="10"/>
  <c r="AF41" i="10"/>
  <c r="AF59" i="10"/>
  <c r="AF67" i="10"/>
  <c r="AF58" i="10"/>
  <c r="AF43" i="10"/>
  <c r="AF51" i="10"/>
  <c r="K36" i="10"/>
  <c r="AF37" i="10"/>
  <c r="AF54" i="10"/>
  <c r="AF57" i="10"/>
  <c r="AF49" i="10"/>
  <c r="AF65" i="10"/>
  <c r="AF60" i="10"/>
  <c r="AF45" i="10"/>
  <c r="AF38" i="10"/>
  <c r="AF46" i="10"/>
  <c r="AF55" i="10"/>
  <c r="AF66" i="10"/>
  <c r="AF40" i="10"/>
  <c r="AF42" i="10"/>
  <c r="AF63" i="10"/>
  <c r="AF48" i="10"/>
  <c r="AF61" i="10"/>
  <c r="AF68" i="10"/>
  <c r="AF50" i="10"/>
  <c r="AF53" i="10"/>
  <c r="AF52" i="10"/>
  <c r="AF62" i="10"/>
  <c r="AF27" i="10"/>
  <c r="AF26" i="10"/>
  <c r="AF18" i="10"/>
  <c r="AF34" i="10"/>
  <c r="AF17" i="10"/>
  <c r="AF23" i="10"/>
  <c r="AF20" i="10"/>
  <c r="AF33" i="10"/>
  <c r="AF31" i="10"/>
  <c r="AF16" i="10"/>
  <c r="AF28" i="10"/>
  <c r="AF25" i="10"/>
  <c r="AF32" i="10"/>
  <c r="AF22" i="10"/>
  <c r="AF35" i="10"/>
  <c r="K14" i="10"/>
  <c r="AF15" i="10"/>
  <c r="AF29" i="10"/>
  <c r="AF30" i="10"/>
  <c r="AF24" i="10"/>
  <c r="AF21" i="10"/>
  <c r="AF19" i="10"/>
  <c r="O56" i="43" l="1"/>
  <c r="P4" i="43" s="1"/>
  <c r="L54" i="43"/>
  <c r="L38" i="43"/>
  <c r="L39" i="43"/>
  <c r="L28" i="43"/>
  <c r="L22" i="43"/>
  <c r="L14" i="43"/>
  <c r="L7" i="43"/>
  <c r="L33" i="43"/>
  <c r="L24" i="43"/>
  <c r="L15" i="43"/>
  <c r="L6" i="43"/>
  <c r="L36" i="43"/>
  <c r="L52" i="43"/>
  <c r="L53" i="43"/>
  <c r="L30" i="43"/>
  <c r="L23" i="43"/>
  <c r="L35" i="43"/>
  <c r="L9" i="43"/>
  <c r="L50" i="43"/>
  <c r="L51" i="43"/>
  <c r="L34" i="43"/>
  <c r="L26" i="43"/>
  <c r="L20" i="43"/>
  <c r="L13" i="43"/>
  <c r="L56" i="43"/>
  <c r="L31" i="43"/>
  <c r="L21" i="43"/>
  <c r="L12" i="43"/>
  <c r="L40" i="43"/>
  <c r="L37" i="43"/>
  <c r="L45" i="43"/>
  <c r="L43" i="43"/>
  <c r="L16" i="43"/>
  <c r="L27" i="43"/>
  <c r="L41" i="43"/>
  <c r="L46" i="43"/>
  <c r="L47" i="43"/>
  <c r="L32" i="43"/>
  <c r="L25" i="43"/>
  <c r="L18" i="43"/>
  <c r="L10" i="43"/>
  <c r="L55" i="43"/>
  <c r="L29" i="43"/>
  <c r="L19" i="43"/>
  <c r="L11" i="43"/>
  <c r="L5" i="43"/>
  <c r="L44" i="43"/>
  <c r="L42" i="43"/>
  <c r="L8" i="43"/>
  <c r="L17" i="43"/>
  <c r="L48" i="43"/>
  <c r="L49" i="43"/>
  <c r="I124" i="10"/>
  <c r="I136" i="10" s="1"/>
  <c r="H136" i="10"/>
  <c r="H124" i="10"/>
  <c r="AF36" i="10"/>
  <c r="K124" i="10"/>
  <c r="K134" i="10" s="1"/>
  <c r="AF14" i="10"/>
  <c r="S56" i="43" l="1"/>
  <c r="T4" i="43" s="1"/>
  <c r="P19" i="43"/>
  <c r="P39" i="43"/>
  <c r="P15" i="43"/>
  <c r="P7" i="43"/>
  <c r="P21" i="43"/>
  <c r="P6" i="43"/>
  <c r="P14" i="43"/>
  <c r="P22" i="43"/>
  <c r="P30" i="43"/>
  <c r="P38" i="43"/>
  <c r="P46" i="43"/>
  <c r="P23" i="43"/>
  <c r="P41" i="43"/>
  <c r="P51" i="43"/>
  <c r="P27" i="43"/>
  <c r="P43" i="43"/>
  <c r="P13" i="43"/>
  <c r="P5" i="43"/>
  <c r="P29" i="43"/>
  <c r="P8" i="43"/>
  <c r="P16" i="43"/>
  <c r="P24" i="43"/>
  <c r="P32" i="43"/>
  <c r="P40" i="43"/>
  <c r="P48" i="43"/>
  <c r="P25" i="43"/>
  <c r="P45" i="43"/>
  <c r="P31" i="43"/>
  <c r="P55" i="43"/>
  <c r="P11" i="43"/>
  <c r="P52" i="43"/>
  <c r="P53" i="43"/>
  <c r="P10" i="43"/>
  <c r="P18" i="43"/>
  <c r="P26" i="43"/>
  <c r="P34" i="43"/>
  <c r="P42" i="43"/>
  <c r="P50" i="43"/>
  <c r="P33" i="43"/>
  <c r="P47" i="43"/>
  <c r="P35" i="43"/>
  <c r="P56" i="43"/>
  <c r="P9" i="43"/>
  <c r="P17" i="43"/>
  <c r="P12" i="43"/>
  <c r="P20" i="43"/>
  <c r="P28" i="43"/>
  <c r="P36" i="43"/>
  <c r="P44" i="43"/>
  <c r="P54" i="43"/>
  <c r="P37" i="43"/>
  <c r="P49" i="43"/>
  <c r="H126" i="10"/>
  <c r="H128" i="10" s="1"/>
  <c r="H134" i="10"/>
  <c r="H137" i="10"/>
  <c r="H135" i="10"/>
  <c r="I137" i="10"/>
  <c r="I126" i="10"/>
  <c r="I128" i="10" s="1"/>
  <c r="AL26" i="66"/>
  <c r="AG28" i="66" s="1"/>
  <c r="AG29" i="66" s="1"/>
  <c r="I135" i="10"/>
  <c r="I134" i="10"/>
  <c r="AL35" i="66"/>
  <c r="AG37" i="66" s="1"/>
  <c r="AG38" i="66" s="1"/>
  <c r="K126" i="10"/>
  <c r="K128" i="10" s="1"/>
  <c r="K136" i="10"/>
  <c r="K135" i="10"/>
  <c r="K137" i="10"/>
  <c r="W56" i="43" l="1"/>
  <c r="X4" i="43" s="1"/>
  <c r="T14" i="43"/>
  <c r="T17" i="43"/>
  <c r="T18" i="43"/>
  <c r="T19" i="43"/>
  <c r="T52" i="43"/>
  <c r="T56" i="43"/>
  <c r="T40" i="43"/>
  <c r="T45" i="43"/>
  <c r="T20" i="43"/>
  <c r="T29" i="43"/>
  <c r="T28" i="43"/>
  <c r="T8" i="43"/>
  <c r="T15" i="43"/>
  <c r="T39" i="43"/>
  <c r="T33" i="43"/>
  <c r="T13" i="43"/>
  <c r="T37" i="43"/>
  <c r="T42" i="43"/>
  <c r="T31" i="43"/>
  <c r="T30" i="43"/>
  <c r="T34" i="43"/>
  <c r="T51" i="43"/>
  <c r="T23" i="43"/>
  <c r="T53" i="43"/>
  <c r="T49" i="43"/>
  <c r="T5" i="43"/>
  <c r="T32" i="43"/>
  <c r="T22" i="43"/>
  <c r="T54" i="43"/>
  <c r="T43" i="43"/>
  <c r="T27" i="43"/>
  <c r="T35" i="43"/>
  <c r="T7" i="43"/>
  <c r="T44" i="43"/>
  <c r="T50" i="43"/>
  <c r="T11" i="43"/>
  <c r="T55" i="43"/>
  <c r="T36" i="43"/>
  <c r="T38" i="43"/>
  <c r="T16" i="43"/>
  <c r="T26" i="43"/>
  <c r="T6" i="43"/>
  <c r="T46" i="43"/>
  <c r="T10" i="43"/>
  <c r="T24" i="43"/>
  <c r="T12" i="43"/>
  <c r="T25" i="43"/>
  <c r="T48" i="43"/>
  <c r="T41" i="43"/>
  <c r="T21" i="43"/>
  <c r="T47" i="43"/>
  <c r="T9" i="43"/>
  <c r="AC56" i="43" l="1"/>
  <c r="AD4" i="43" s="1"/>
  <c r="AA56" i="43"/>
  <c r="AB4" i="43" s="1"/>
  <c r="X55" i="43"/>
  <c r="X22" i="43"/>
  <c r="X39" i="43"/>
  <c r="X54" i="43"/>
  <c r="X35" i="43"/>
  <c r="X25" i="43"/>
  <c r="X48" i="43"/>
  <c r="X13" i="43"/>
  <c r="X43" i="43"/>
  <c r="X27" i="43"/>
  <c r="X32" i="43"/>
  <c r="X6" i="43"/>
  <c r="X31" i="43"/>
  <c r="X47" i="43"/>
  <c r="X10" i="43"/>
  <c r="X12" i="43"/>
  <c r="X19" i="43"/>
  <c r="X41" i="43"/>
  <c r="X29" i="43"/>
  <c r="X14" i="43"/>
  <c r="X23" i="43"/>
  <c r="X49" i="43"/>
  <c r="X56" i="43"/>
  <c r="X40" i="43"/>
  <c r="X7" i="43"/>
  <c r="X45" i="43"/>
  <c r="X51" i="43"/>
  <c r="X21" i="43"/>
  <c r="X53" i="43"/>
  <c r="X24" i="43"/>
  <c r="X36" i="43"/>
  <c r="X38" i="43"/>
  <c r="X34" i="43"/>
  <c r="X42" i="43"/>
  <c r="X26" i="43"/>
  <c r="X28" i="43"/>
  <c r="X5" i="43"/>
  <c r="X44" i="43"/>
  <c r="X33" i="43"/>
  <c r="X9" i="43"/>
  <c r="X52" i="43"/>
  <c r="X18" i="43"/>
  <c r="X15" i="43"/>
  <c r="X50" i="43"/>
  <c r="X20" i="43"/>
  <c r="X30" i="43"/>
  <c r="X8" i="43"/>
  <c r="X37" i="43"/>
  <c r="X17" i="43"/>
  <c r="X16" i="43"/>
  <c r="X46" i="43"/>
  <c r="X11" i="43"/>
  <c r="AD50" i="43" l="1"/>
  <c r="AD34" i="43"/>
  <c r="AD53" i="43"/>
  <c r="AD21" i="43"/>
  <c r="AD12" i="43"/>
  <c r="AD55" i="43"/>
  <c r="AD54" i="43"/>
  <c r="AD19" i="43"/>
  <c r="AD11" i="43"/>
  <c r="AD9" i="43"/>
  <c r="AD31" i="43"/>
  <c r="AD49" i="43"/>
  <c r="AD33" i="43"/>
  <c r="AD42" i="43"/>
  <c r="AD15" i="43"/>
  <c r="AD22" i="43"/>
  <c r="AD37" i="43"/>
  <c r="AD43" i="43"/>
  <c r="AD18" i="43"/>
  <c r="AD5" i="43"/>
  <c r="AD41" i="43"/>
  <c r="AD44" i="43"/>
  <c r="AD6" i="43"/>
  <c r="AD27" i="43"/>
  <c r="AD28" i="43"/>
  <c r="AD7" i="43"/>
  <c r="AD35" i="43"/>
  <c r="AD24" i="43"/>
  <c r="AD13" i="43"/>
  <c r="AD56" i="43"/>
  <c r="AD16" i="43"/>
  <c r="AD26" i="43"/>
  <c r="AD10" i="43"/>
  <c r="AD8" i="43"/>
  <c r="AD48" i="43"/>
  <c r="AD32" i="43"/>
  <c r="AD39" i="43"/>
  <c r="AD14" i="43"/>
  <c r="AD52" i="43"/>
  <c r="AD23" i="43"/>
  <c r="AD36" i="43"/>
  <c r="AD17" i="43"/>
  <c r="AD30" i="43"/>
  <c r="AD40" i="43"/>
  <c r="AD51" i="43"/>
  <c r="AD57" i="43"/>
  <c r="AD38" i="43"/>
  <c r="AD25" i="43"/>
  <c r="AD20" i="43"/>
  <c r="AD46" i="43"/>
  <c r="AD47" i="43"/>
  <c r="AD45" i="43"/>
  <c r="AD29" i="43"/>
  <c r="AF15" i="43"/>
  <c r="AF38" i="43"/>
  <c r="AF30" i="43"/>
  <c r="AF32" i="43"/>
  <c r="AF7" i="43"/>
  <c r="AF45" i="43"/>
  <c r="AF40" i="43"/>
  <c r="AF19" i="43"/>
  <c r="AF46" i="43"/>
  <c r="AF54" i="43"/>
  <c r="AF44" i="43"/>
  <c r="AF24" i="43"/>
  <c r="AF29" i="43"/>
  <c r="AF41" i="43"/>
  <c r="AF16" i="43"/>
  <c r="AF42" i="43"/>
  <c r="AF21" i="43"/>
  <c r="AF8" i="43"/>
  <c r="AF5" i="43"/>
  <c r="AF10" i="43"/>
  <c r="AF52" i="43"/>
  <c r="AF33" i="43"/>
  <c r="AF27" i="43"/>
  <c r="AF49" i="43"/>
  <c r="AF14" i="43"/>
  <c r="AF51" i="43"/>
  <c r="AF37" i="43"/>
  <c r="AF36" i="43"/>
  <c r="AF47" i="43"/>
  <c r="AF23" i="43"/>
  <c r="AF25" i="43"/>
  <c r="AF4" i="43"/>
  <c r="AF13" i="43"/>
  <c r="AF39" i="43"/>
  <c r="AF34" i="43"/>
  <c r="AF28" i="43"/>
  <c r="AF11" i="43"/>
  <c r="AF17" i="43"/>
  <c r="AF31" i="43"/>
  <c r="AF35" i="43"/>
  <c r="AF18" i="43"/>
  <c r="AF50" i="43"/>
  <c r="AF43" i="43"/>
  <c r="AF26" i="43"/>
  <c r="AE56" i="43"/>
  <c r="AF56" i="43" s="1"/>
  <c r="AF20" i="43"/>
  <c r="AF55" i="43"/>
  <c r="AF48" i="43"/>
  <c r="AF12" i="43"/>
  <c r="AF22" i="43"/>
  <c r="AF6" i="43"/>
  <c r="AF9" i="43"/>
  <c r="AF53" i="43"/>
  <c r="AB8" i="43"/>
  <c r="AB45" i="43"/>
  <c r="AB9" i="43"/>
  <c r="AB7" i="43"/>
  <c r="AB15" i="43"/>
  <c r="AB21" i="43"/>
  <c r="AB49" i="43"/>
  <c r="AB42" i="43"/>
  <c r="AB26" i="43"/>
  <c r="AB18" i="43"/>
  <c r="AB22" i="43"/>
  <c r="AB54" i="43"/>
  <c r="AB29" i="43"/>
  <c r="AB33" i="43"/>
  <c r="AB6" i="43"/>
  <c r="AB31" i="43"/>
  <c r="AB48" i="43"/>
  <c r="AB53" i="43"/>
  <c r="AB40" i="43"/>
  <c r="AB16" i="43"/>
  <c r="AB51" i="43"/>
  <c r="AB5" i="43"/>
  <c r="AB30" i="43"/>
  <c r="AB13" i="43"/>
  <c r="AB35" i="43"/>
  <c r="AB27" i="43"/>
  <c r="AB28" i="43"/>
  <c r="AB46" i="43"/>
  <c r="AB37" i="43"/>
  <c r="AB34" i="43"/>
  <c r="AB14" i="43"/>
  <c r="AB11" i="43"/>
  <c r="AB41" i="43"/>
  <c r="AB25" i="43"/>
  <c r="AB19" i="43"/>
  <c r="AB36" i="43"/>
  <c r="AB50" i="43"/>
  <c r="AB47" i="43"/>
  <c r="AB55" i="43"/>
  <c r="AB38" i="43"/>
  <c r="AB12" i="43"/>
  <c r="AB39" i="43"/>
  <c r="AB56" i="43"/>
  <c r="AB23" i="43"/>
  <c r="AB24" i="43"/>
  <c r="AB10" i="43"/>
  <c r="AB44" i="43"/>
  <c r="AB52" i="43"/>
  <c r="AB43" i="43"/>
  <c r="AB17" i="43"/>
  <c r="AB32" i="43"/>
  <c r="AB20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RG PP</author>
  </authors>
  <commentList>
    <comment ref="E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RG PP:</t>
        </r>
        <r>
          <rPr>
            <sz val="9"/>
            <color indexed="81"/>
            <rFont val="Tahoma"/>
            <family val="2"/>
          </rPr>
          <t xml:space="preserve">
+9687,42 1 parcela 13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Pri&amp;Ro</author>
  </authors>
  <commentList>
    <comment ref="J89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Passagem=1093
Hotel=580
Alimentação+passeio=6000
carro=1200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rjg</author>
  </authors>
  <commentList>
    <comment ref="AC8" authorId="0" shapeId="0" xr:uid="{00000000-0006-0000-0200-000001000000}">
      <text>
        <r>
          <rPr>
            <sz val="8"/>
            <color rgb="FF000000"/>
            <rFont val="Calibri"/>
            <family val="2"/>
          </rPr>
          <t>Líquido Proventos (</t>
        </r>
        <r>
          <rPr>
            <b/>
            <sz val="8"/>
            <color rgb="FF000000"/>
            <rFont val="Calibri"/>
            <family val="2"/>
          </rPr>
          <t>A-D</t>
        </r>
        <r>
          <rPr>
            <sz val="8"/>
            <color rgb="FF000000"/>
            <rFont val="Calibri"/>
            <family val="2"/>
          </rPr>
          <t xml:space="preserve"> ou A)
</t>
        </r>
        <r>
          <rPr>
            <sz val="8"/>
            <color rgb="FF000000"/>
            <rFont val="Calibri"/>
            <family val="2"/>
          </rPr>
          <t>Priscila e Ronaldo</t>
        </r>
      </text>
    </comment>
    <comment ref="AK8" authorId="0" shapeId="0" xr:uid="{00000000-0006-0000-0200-000002000000}">
      <text>
        <r>
          <rPr>
            <sz val="8"/>
            <color indexed="81"/>
            <rFont val="Calibri"/>
            <family val="2"/>
            <scheme val="minor"/>
          </rPr>
          <t>Despesas durante o mês</t>
        </r>
      </text>
    </comment>
    <comment ref="AC9" authorId="0" shapeId="0" xr:uid="{00000000-0006-0000-0200-000003000000}">
      <text>
        <r>
          <rPr>
            <sz val="8"/>
            <color rgb="FF000000"/>
            <rFont val="Calibri"/>
            <family val="2"/>
          </rPr>
          <t xml:space="preserve">Saldo Acumulado no início do mês
</t>
        </r>
      </text>
    </comment>
    <comment ref="AC10" authorId="0" shapeId="0" xr:uid="{00000000-0006-0000-0200-000004000000}">
      <text>
        <r>
          <rPr>
            <sz val="8"/>
            <color rgb="FF000000"/>
            <rFont val="Calibri"/>
            <family val="2"/>
          </rPr>
          <t xml:space="preserve">Outras Créditos durante o mês
</t>
        </r>
      </text>
    </comment>
    <comment ref="AK10" authorId="0" shapeId="0" xr:uid="{00000000-0006-0000-0200-000005000000}">
      <text>
        <r>
          <rPr>
            <sz val="6"/>
            <color indexed="81"/>
            <rFont val="Calibri"/>
            <family val="2"/>
            <scheme val="minor"/>
          </rPr>
          <t>Despesas descontadas dos  salários (OBS: se 
 colocar</t>
        </r>
        <r>
          <rPr>
            <b/>
            <sz val="6"/>
            <color indexed="81"/>
            <rFont val="Calibri"/>
            <family val="2"/>
            <scheme val="minor"/>
          </rPr>
          <t xml:space="preserve"> A-D</t>
        </r>
        <r>
          <rPr>
            <sz val="6"/>
            <color indexed="81"/>
            <rFont val="Calibri"/>
            <family val="2"/>
            <scheme val="minor"/>
          </rPr>
          <t xml:space="preserve"> deve ficar em branco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rjg</author>
  </authors>
  <commentList>
    <comment ref="B4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Previsão</t>
        </r>
      </text>
    </comment>
    <comment ref="B43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Finalizado (real)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trato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" xr16:uid="{00000000-0015-0000-FFFF-FFFF01000000}" name="extrato_poupanca_Pri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3" xr16:uid="{00000000-0015-0000-FFFF-FFFF02000000}" name="extrato_poupanca_Pri1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4" xr16:uid="{00000000-0015-0000-FFFF-FFFF03000000}" name="extrato_poupanca_Pri10" type="6" refreshedVersion="0" background="1">
    <textPr prompt="0" sourceFile="D:\Despesas\Arquivos Banco\extrato_poupanca_Pri.txt" decimal="," thousands=".">
      <textFields>
        <textField/>
      </textFields>
    </textPr>
  </connection>
  <connection id="5" xr16:uid="{00000000-0015-0000-FFFF-FFFF04000000}" name="extrato_poupanca_Pri2" type="6" refreshedVersion="3" background="1">
    <textPr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6" xr16:uid="{00000000-0015-0000-FFFF-FFFF05000000}" name="extrato_poupanca_Pri3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7" xr16:uid="{00000000-0015-0000-FFFF-FFFF06000000}" name="extrato_poupanca_Pri4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8" xr16:uid="{00000000-0015-0000-FFFF-FFFF07000000}" name="extrato_poupanca_Pri5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9" xr16:uid="{00000000-0015-0000-FFFF-FFFF08000000}" name="extrato_poupanca_Pri6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10" xr16:uid="{00000000-0015-0000-FFFF-FFFF09000000}" name="extrato_poupanca_Pri7" type="6" refreshedVersion="3" background="1" saveData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11" xr16:uid="{00000000-0015-0000-FFFF-FFFF0A000000}" name="extrato_poupanca_Pri8" type="6" refreshedVersion="3" background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12" xr16:uid="{00000000-0015-0000-FFFF-FFFF0B000000}" name="extrato_poupanca_Pri9" type="6" refreshedVersion="3" background="1" saveData="1">
    <textPr prompt="0" sourceFile="D:\Despesas\Arquivos Banco\extrato_poupanca_Pri.txt" delimited="0" decimal="," thousands=".">
      <textFields count="3">
        <textField/>
        <textField position="14"/>
        <textField position="48"/>
      </textFields>
    </textPr>
  </connection>
  <connection id="13" xr16:uid="{00000000-0015-0000-FFFF-FFFF0C000000}" name="extrato_poupanca_Ro" type="6" refreshedVersion="3" background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14" xr16:uid="{00000000-0015-0000-FFFF-FFFF0D000000}" name="extrato_poupanca_Ro1" type="6" refreshedVersion="3" background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15" xr16:uid="{00000000-0015-0000-FFFF-FFFF0E000000}" name="extrato_poupanca_Ro2" type="6" refreshedVersion="3" background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16" xr16:uid="{00000000-0015-0000-FFFF-FFFF0F000000}" name="extrato_poupanca_Ro3" type="6" refreshedVersion="3" background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17" xr16:uid="{00000000-0015-0000-FFFF-FFFF10000000}" name="extrato_poupanca_Ro4" type="6" refreshedVersion="3" background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18" xr16:uid="{00000000-0015-0000-FFFF-FFFF11000000}" name="extrato_poupanca_Ro5" type="6" refreshedVersion="3" background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19" xr16:uid="{00000000-0015-0000-FFFF-FFFF12000000}" name="extrato_poupanca_Ro6" type="6" refreshedVersion="3" background="1" saveData="1">
    <textPr prompt="0" sourceFile="D:\Despesas\Arquivos Banco\extrato_poupanca_Ro.txt" delimited="0" decimal="," thousands=".">
      <textFields count="3">
        <textField/>
        <textField position="14"/>
        <textField position="48"/>
      </textFields>
    </textPr>
  </connection>
  <connection id="20" xr16:uid="{00000000-0015-0000-FFFF-FFFF13000000}" name="extrato1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1" xr16:uid="{00000000-0015-0000-FFFF-FFFF14000000}" name="extrato10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2" xr16:uid="{00000000-0015-0000-FFFF-FFFF15000000}" name="extrato11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3" xr16:uid="{00000000-0015-0000-FFFF-FFFF16000000}" name="extrato12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4" xr16:uid="{00000000-0015-0000-FFFF-FFFF17000000}" name="extrato13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5" xr16:uid="{00000000-0015-0000-FFFF-FFFF18000000}" name="extrato14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6" xr16:uid="{00000000-0015-0000-FFFF-FFFF19000000}" name="extrato15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7" xr16:uid="{00000000-0015-0000-FFFF-FFFF1A000000}" name="extrato16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8" xr16:uid="{00000000-0015-0000-FFFF-FFFF1B000000}" name="extrato17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29" xr16:uid="{00000000-0015-0000-FFFF-FFFF1C000000}" name="extrato18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0" xr16:uid="{00000000-0015-0000-FFFF-FFFF1D000000}" name="extrato19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1" xr16:uid="{00000000-0015-0000-FFFF-FFFF1E000000}" name="extrato2" type="6" refreshedVersion="0" background="1">
    <textPr prompt="0" sourceFile="D:\Despesas\Arquivos Banco\extrato.txt" decimal="," thousands=".">
      <textFields>
        <textField/>
      </textFields>
    </textPr>
  </connection>
  <connection id="32" xr16:uid="{00000000-0015-0000-FFFF-FFFF1F000000}" name="extrato20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3" xr16:uid="{00000000-0015-0000-FFFF-FFFF20000000}" name="extrato21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4" xr16:uid="{00000000-0015-0000-FFFF-FFFF21000000}" name="extrato22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5" xr16:uid="{00000000-0015-0000-FFFF-FFFF22000000}" name="extrato23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6" xr16:uid="{00000000-0015-0000-FFFF-FFFF23000000}" name="extrato24" type="6" refreshedVersion="0" background="1">
    <textPr prompt="0" sourceFile="D:\Despesas\Arquivos Banco\extrato.txt" decimal="," thousands=".">
      <textFields>
        <textField/>
      </textFields>
    </textPr>
  </connection>
  <connection id="37" xr16:uid="{00000000-0015-0000-FFFF-FFFF24000000}" name="extrato25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8" xr16:uid="{00000000-0015-0000-FFFF-FFFF25000000}" name="extrato26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39" xr16:uid="{00000000-0015-0000-FFFF-FFFF26000000}" name="extrato27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40" xr16:uid="{00000000-0015-0000-FFFF-FFFF27000000}" name="extrato28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41" xr16:uid="{00000000-0015-0000-FFFF-FFFF28000000}" name="extrato29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42" xr16:uid="{00000000-0015-0000-FFFF-FFFF29000000}" name="extrato3" type="6" refreshedVersion="0" background="1">
    <textPr prompt="0" sourceFile="D:\Despesas\Arquivos Banco\extrato.txt" decimal="," thousands=".">
      <textFields>
        <textField/>
      </textFields>
    </textPr>
  </connection>
  <connection id="43" xr16:uid="{00000000-0015-0000-FFFF-FFFF2A000000}" name="extrato30" type="6" refreshedVersion="0" background="1">
    <textPr prompt="0" sourceFile="C:\Users\Ronaldo\Dropbox\Despesas 2014\Arquivos Banco\extrato.txt" decimal="," thousands=".">
      <textFields>
        <textField/>
      </textFields>
    </textPr>
  </connection>
  <connection id="44" xr16:uid="{00000000-0015-0000-FFFF-FFFF2B000000}" name="extrato31" type="6" refreshedVersion="0" background="1">
    <textPr prompt="0" sourceFile="C:\Users\Ronaldo\Dropbox\Despesas 2014\Arquivos Banco\extrato.txt" decimal="," thousands=".">
      <textFields>
        <textField/>
      </textFields>
    </textPr>
  </connection>
  <connection id="45" xr16:uid="{00000000-0015-0000-FFFF-FFFF2C000000}" name="extrato32" type="6" refreshedVersion="0" background="1">
    <textPr prompt="0" sourceFile="C:\Users\Ronaldo\Dropbox\Despesas 2014\Arquivos Banco\extrato.txt" decimal="," thousands=".">
      <textFields>
        <textField/>
      </textFields>
    </textPr>
  </connection>
  <connection id="46" xr16:uid="{00000000-0015-0000-FFFF-FFFF2D000000}" name="extrato33" type="6" refreshedVersion="0" background="1">
    <textPr prompt="0" sourceFile="C:\Users\Ronaldo\Dropbox\Despesas 2014\Arquivos Banco\extrato.txt" decimal="," thousands=".">
      <textFields>
        <textField/>
      </textFields>
    </textPr>
  </connection>
  <connection id="47" xr16:uid="{00000000-0015-0000-FFFF-FFFF2E000000}" name="extrato34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48" xr16:uid="{00000000-0015-0000-FFFF-FFFF2F000000}" name="extrato35" type="6" refreshedVersion="0" background="1">
    <textPr prompt="0" sourceFile="C:\Users\Ronaldo\Dropbox\Despesas 2014\Arquivos Banco\extrato.txt" decimal="," thousands=".">
      <textFields>
        <textField/>
      </textFields>
    </textPr>
  </connection>
  <connection id="49" xr16:uid="{00000000-0015-0000-FFFF-FFFF30000000}" name="extrato36" type="6" refreshedVersion="0" background="1">
    <textPr prompt="0" sourceFile="C:\Users\Ronaldo\Dropbox\Despesas 2014\Arquivos Banco\extrato.txt" decimal="," thousands=".">
      <textFields>
        <textField/>
      </textFields>
    </textPr>
  </connection>
  <connection id="50" xr16:uid="{00000000-0015-0000-FFFF-FFFF31000000}" name="extrato37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1" xr16:uid="{00000000-0015-0000-FFFF-FFFF32000000}" name="extrato38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2" xr16:uid="{00000000-0015-0000-FFFF-FFFF33000000}" name="extrato39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3" xr16:uid="{00000000-0015-0000-FFFF-FFFF34000000}" name="extrato4" type="6" refreshedVersion="0" background="1">
    <textPr prompt="0" sourceFile="D:\Despesas\Arquivos Banco\extrato.txt" decimal="," thousands=".">
      <textFields>
        <textField/>
      </textFields>
    </textPr>
  </connection>
  <connection id="54" xr16:uid="{00000000-0015-0000-FFFF-FFFF35000000}" name="extrato40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5" xr16:uid="{00000000-0015-0000-FFFF-FFFF36000000}" name="extrato41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6" xr16:uid="{00000000-0015-0000-FFFF-FFFF37000000}" name="extrato42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7" xr16:uid="{00000000-0015-0000-FFFF-FFFF38000000}" name="extrato43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8" xr16:uid="{00000000-0015-0000-FFFF-FFFF39000000}" name="extrato44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59" xr16:uid="{00000000-0015-0000-FFFF-FFFF3A000000}" name="extrato45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0" xr16:uid="{00000000-0015-0000-FFFF-FFFF3B000000}" name="extrato46" type="6" refreshedVersion="3" background="1" saveData="1">
    <textPr prompt="0" sourceFile="C:\Users\Ronald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1" xr16:uid="{00000000-0015-0000-FFFF-FFFF3C000000}" name="extrato47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2" xr16:uid="{00000000-0015-0000-FFFF-FFFF3D000000}" name="extrato48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3" xr16:uid="{00000000-0015-0000-FFFF-FFFF3E000000}" name="extrato49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4" xr16:uid="{00000000-0015-0000-FFFF-FFFF3F000000}" name="extrato5" type="6" refreshedVersion="0" background="1">
    <textPr prompt="0" sourceFile="D:\Despesas\Arquivos Banco\extrato.txt" decimal="," thousands=".">
      <textFields>
        <textField/>
      </textFields>
    </textPr>
  </connection>
  <connection id="65" xr16:uid="{00000000-0015-0000-FFFF-FFFF40000000}" name="extrato50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6" xr16:uid="{00000000-0015-0000-FFFF-FFFF41000000}" name="extrato51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7" xr16:uid="{00000000-0015-0000-FFFF-FFFF42000000}" name="extrato52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8" xr16:uid="{00000000-0015-0000-FFFF-FFFF43000000}" name="extrato53" type="6" refreshedVersion="3" background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69" xr16:uid="{00000000-0015-0000-FFFF-FFFF44000000}" name="extrato54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0" xr16:uid="{00000000-0015-0000-FFFF-FFFF45000000}" name="extrato55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1" xr16:uid="{00000000-0015-0000-FFFF-FFFF46000000}" name="extrato56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2" xr16:uid="{00000000-0015-0000-FFFF-FFFF47000000}" name="extrato57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3" xr16:uid="{00000000-0015-0000-FFFF-FFFF48000000}" name="extrato58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4" xr16:uid="{00000000-0015-0000-FFFF-FFFF49000000}" name="extrato59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5" xr16:uid="{00000000-0015-0000-FFFF-FFFF4A000000}" name="extrato6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6" xr16:uid="{00000000-0015-0000-FFFF-FFFF4B000000}" name="extrato60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7" xr16:uid="{00000000-0015-0000-FFFF-FFFF4C000000}" name="extrato61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8" xr16:uid="{00000000-0015-0000-FFFF-FFFF4D000000}" name="extrato62" type="6" refreshedVersion="3" background="1" saveData="1">
    <textPr prompt="0" sourceFile="C:\Users\RG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79" xr16:uid="{00000000-0015-0000-FFFF-FFFF4E000000}" name="extrato63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0" xr16:uid="{00000000-0015-0000-FFFF-FFFF4F000000}" name="extrato64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1" xr16:uid="{00000000-0015-0000-FFFF-FFFF50000000}" name="extrato65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2" xr16:uid="{00000000-0015-0000-FFFF-FFFF51000000}" name="extrato66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3" xr16:uid="{00000000-0015-0000-FFFF-FFFF52000000}" name="extrato67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4" xr16:uid="{00000000-0015-0000-FFFF-FFFF53000000}" name="extrato68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5" xr16:uid="{00000000-0015-0000-FFFF-FFFF54000000}" name="extrato69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6" xr16:uid="{00000000-0015-0000-FFFF-FFFF55000000}" name="extrato7" type="6" refreshedVersion="3" background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7" xr16:uid="{00000000-0015-0000-FFFF-FFFF56000000}" name="extrato70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8" xr16:uid="{00000000-0015-0000-FFFF-FFFF57000000}" name="extrato71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89" xr16:uid="{00000000-0015-0000-FFFF-FFFF58000000}" name="extrato72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0" xr16:uid="{00000000-0015-0000-FFFF-FFFF59000000}" name="extrato73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1" xr16:uid="{00000000-0015-0000-FFFF-FFFF5A000000}" name="extrato74" type="6" refreshedVersion="3" background="1" saveData="1">
    <textPr prompt="0" sourceFile="C:\Users\Pri&amp;Ro\Dropbox\Despesas 2014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2" xr16:uid="{00000000-0015-0000-FFFF-FFFF5B000000}" name="extrato75" type="6" refreshedVersion="3" background="1" saveData="1">
    <textPr prompt="0" sourceFile="C:\Users\Pri&amp;Ro\Dropbox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3" xr16:uid="{00000000-0015-0000-FFFF-FFFF5C000000}" name="extrato76" type="6" refreshedVersion="3" background="1">
    <textPr prompt="0" sourceFile="C:\Users\Pri&amp;Ro\Dropbox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4" xr16:uid="{00000000-0015-0000-FFFF-FFFF5D000000}" name="extrato77" type="6" refreshedVersion="3" background="1" saveData="1">
    <textPr prompt="0" sourceFile="C:\Users\Pri&amp;Ro\Dropbox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5" xr16:uid="{00000000-0015-0000-FFFF-FFFF5E000000}" name="extrato78" type="6" refreshedVersion="3" background="1" saveData="1">
    <textPr prompt="0" sourceFile="C:\Users\Pri&amp;Ro\Dropbox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6" xr16:uid="{00000000-0015-0000-FFFF-FFFF5F000000}" name="extrato79" type="6" refreshedVersion="3" background="1" saveData="1">
    <textPr prompt="0" sourceFile="C:\Users\Pri&amp;Ro\Dropbox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7" xr16:uid="{00000000-0015-0000-FFFF-FFFF60000000}" name="extrato8" type="6" refreshedVersion="3" background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8" xr16:uid="{00000000-0015-0000-FFFF-FFFF61000000}" name="extrato80" type="6" refreshedVersion="3" background="1" saveData="1">
    <textPr prompt="0" sourceFile="C:\Users\Pri&amp;Ro\Dropbox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99" xr16:uid="{00000000-0015-0000-FFFF-FFFF62000000}" name="extrato9" type="6" refreshedVersion="3" background="1" saveData="1">
    <textPr prompt="0" sourceFile="D:\Despesas\Arquivos Banco\extrato.txt" delimited="0" decimal="," thousands=".">
      <textFields count="4">
        <textField type="DMY"/>
        <textField position="8"/>
        <textField position="66"/>
        <textField position="78"/>
      </textFields>
    </textPr>
  </connection>
  <connection id="100" xr16:uid="{00000000-0015-0000-FFFF-FFFF63000000}" name="ExtratoCartaoCreditoFev2016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1" xr16:uid="{00000000-0015-0000-FFFF-FFFF64000000}" name="ExtratoCartaoCreditoFev20161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2" xr16:uid="{00000000-0015-0000-FFFF-FFFF65000000}" name="ExtratoCartaoCreditoFev201610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3" xr16:uid="{00000000-0015-0000-FFFF-FFFF66000000}" name="ExtratoCartaoCreditoFev201611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4" xr16:uid="{00000000-0015-0000-FFFF-FFFF67000000}" name="ExtratoCartaoCreditoFev201612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5" xr16:uid="{00000000-0015-0000-FFFF-FFFF68000000}" name="ExtratoCartaoCreditoFev201613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6" xr16:uid="{00000000-0015-0000-FFFF-FFFF69000000}" name="ExtratoCartaoCreditoFev201614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07" xr16:uid="{00000000-0015-0000-FFFF-FFFF6A000000}" name="ExtratoCartaoCreditoFev201615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08" xr16:uid="{00000000-0015-0000-FFFF-FFFF6B000000}" name="ExtratoCartaoCreditoFev201616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09" xr16:uid="{00000000-0015-0000-FFFF-FFFF6C000000}" name="ExtratoCartaoCreditoFev2016171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0" xr16:uid="{00000000-0015-0000-FFFF-FFFF6D000000}" name="ExtratoCartaoCreditoFev201617111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1" xr16:uid="{00000000-0015-0000-FFFF-FFFF6E000000}" name="ExtratoCartaoCreditoFev201618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2" xr16:uid="{00000000-0015-0000-FFFF-FFFF6F000000}" name="ExtratoCartaoCreditoFev201619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3" xr16:uid="{00000000-0015-0000-FFFF-FFFF70000000}" name="ExtratoCartaoCreditoFev201620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4" xr16:uid="{00000000-0015-0000-FFFF-FFFF71000000}" name="ExtratoCartaoCreditoFev201621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5" xr16:uid="{00000000-0015-0000-FFFF-FFFF72000000}" name="ExtratoCartaoCreditoFev201622" type="6" refreshedVersion="5" background="1" saveData="1">
    <textPr prompt="0" codePage="437" sourceFile="C:\Users\RG\Dropbox\Despesas\Extratos\ExtratoCartaoCreditoFev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16" xr16:uid="{00000000-0015-0000-FFFF-FFFF73000000}" name="ExtratoCartaoCreditoFev20163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17" xr16:uid="{00000000-0015-0000-FFFF-FFFF74000000}" name="ExtratoCartaoCreditoFev20164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18" xr16:uid="{00000000-0015-0000-FFFF-FFFF75000000}" name="ExtratoCartaoCreditoFev20165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19" xr16:uid="{00000000-0015-0000-FFFF-FFFF76000000}" name="ExtratoCartaoCreditoFev20166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20" xr16:uid="{00000000-0015-0000-FFFF-FFFF77000000}" name="ExtratoCartaoCreditoFev20167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21" xr16:uid="{00000000-0015-0000-FFFF-FFFF78000000}" name="ExtratoCartaoCreditoFev20168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22" xr16:uid="{00000000-0015-0000-FFFF-FFFF79000000}" name="ExtratoCartaoCreditoFev20169" type="6" refreshedVersion="0" background="1">
    <textPr prompt="0" sourceFile="C:\Users\RG\Dropbox\Despesas\Extratos\ExtratoCartaoCreditoFev2016.txt" decimal="," thousands=".">
      <textFields>
        <textField/>
      </textFields>
    </textPr>
  </connection>
  <connection id="123" xr16:uid="{00000000-0015-0000-FFFF-FFFF7A000000}" name="ExtratoCartaoCreditoJan2016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24" xr16:uid="{00000000-0015-0000-FFFF-FFFF7B000000}" name="ExtratoCartaoCreditoJan20161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25" xr16:uid="{00000000-0015-0000-FFFF-FFFF7C000000}" name="ExtratoCartaoCreditoJan201610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26" xr16:uid="{00000000-0015-0000-FFFF-FFFF7D000000}" name="ExtratoCartaoCreditoJan201611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27" xr16:uid="{00000000-0015-0000-FFFF-FFFF7E000000}" name="ExtratoCartaoCreditoJan201612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28" xr16:uid="{00000000-0015-0000-FFFF-FFFF7F000000}" name="ExtratoCartaoCreditoJan201617" type="6" refreshedVersion="5" background="1" saveData="1">
    <textPr prompt="0" codePage="437" sourceFile="C:\Users\RG\Dropbox\Despesas\Extratos\ExtratoCartaoCreditoJan2016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129" xr16:uid="{00000000-0015-0000-FFFF-FFFF80000000}" name="ExtratoCartaoCreditoJan20162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0" xr16:uid="{00000000-0015-0000-FFFF-FFFF81000000}" name="ExtratoCartaoCreditoJan20163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1" xr16:uid="{00000000-0015-0000-FFFF-FFFF82000000}" name="ExtratoCartaoCreditoJan20164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2" xr16:uid="{00000000-0015-0000-FFFF-FFFF83000000}" name="ExtratoCartaoCreditoJan20165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3" xr16:uid="{00000000-0015-0000-FFFF-FFFF84000000}" name="ExtratoCartaoCreditoJan20166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4" xr16:uid="{00000000-0015-0000-FFFF-FFFF85000000}" name="ExtratoCartaoCreditoJan20167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5" xr16:uid="{00000000-0015-0000-FFFF-FFFF86000000}" name="ExtratoCartaoCreditoJan20168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6" xr16:uid="{00000000-0015-0000-FFFF-FFFF87000000}" name="ExtratoCartaoCreditoJan20169" type="6" refreshedVersion="0" background="1">
    <textPr prompt="0" sourceFile="C:\Users\RG\Dropbox\Despesas\Extratos\ExtratoCartaoCreditoJan2016.txt" decimal="," thousands=".">
      <textFields>
        <textField/>
      </textFields>
    </textPr>
  </connection>
  <connection id="137" xr16:uid="{00000000-0015-0000-FFFF-FFFF88000000}" name="ExtratoContaCorrenteFev20161" type="6" refreshedVersion="0" background="1">
    <textPr prompt="0" sourceFile="C:\Users\RG\Dropbox\Despesas\Extratos\ExtratoContaCorrenteFev2016.txt" decimal="," thousands=".">
      <textFields>
        <textField/>
      </textFields>
    </textPr>
  </connection>
  <connection id="138" xr16:uid="{00000000-0015-0000-FFFF-FFFF89000000}" name="ExtratoContaCorrenteFev201610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39" xr16:uid="{00000000-0015-0000-FFFF-FFFF8A000000}" name="ExtratoContaCorrenteFev201611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0" xr16:uid="{00000000-0015-0000-FFFF-FFFF8B000000}" name="ExtratoContaCorrenteFev201612111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1" xr16:uid="{00000000-0015-0000-FFFF-FFFF8C000000}" name="ExtratoContaCorrenteFev20162" type="6" refreshedVersion="0" background="1">
    <textPr prompt="0" sourceFile="C:\Users\RG\Dropbox\Despesas\Extratos\ExtratoContaCorrenteFev2016.txt" decimal="," thousands=".">
      <textFields>
        <textField/>
      </textFields>
    </textPr>
  </connection>
  <connection id="142" xr16:uid="{00000000-0015-0000-FFFF-FFFF8D000000}" name="ExtratoContaCorrenteFev20163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3" xr16:uid="{00000000-0015-0000-FFFF-FFFF8E000000}" name="ExtratoContaCorrenteFev20164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4" xr16:uid="{00000000-0015-0000-FFFF-FFFF8F000000}" name="ExtratoContaCorrenteFev20165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5" xr16:uid="{00000000-0015-0000-FFFF-FFFF90000000}" name="ExtratoContaCorrenteFev20166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6" xr16:uid="{00000000-0015-0000-FFFF-FFFF91000000}" name="ExtratoContaCorrenteFev201671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7" xr16:uid="{00000000-0015-0000-FFFF-FFFF92000000}" name="ExtratoContaCorrenteFev20167111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8" xr16:uid="{00000000-0015-0000-FFFF-FFFF93000000}" name="ExtratoContaCorrenteFev20168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49" xr16:uid="{00000000-0015-0000-FFFF-FFFF94000000}" name="ExtratoContaCorrenteFev20169" type="6" refreshedVersion="5" background="1" saveData="1">
    <textPr prompt="0" codePage="437" sourceFile="C:\Users\RG\Dropbox\Despesas\Extratos\ExtratoContaCorrenteFev2016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150" xr16:uid="{00000000-0015-0000-FFFF-FFFF95000000}" name="ExtratoContaCorrenteJan2016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1" xr16:uid="{00000000-0015-0000-FFFF-FFFF96000000}" name="ExtratoContaCorrenteJan20161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2" xr16:uid="{00000000-0015-0000-FFFF-FFFF97000000}" name="ExtratoContaCorrenteJan201610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3" xr16:uid="{00000000-0015-0000-FFFF-FFFF98000000}" name="ExtratoContaCorrenteJan201611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4" xr16:uid="{00000000-0015-0000-FFFF-FFFF99000000}" name="ExtratoContaCorrenteJan201612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5" xr16:uid="{00000000-0015-0000-FFFF-FFFF9A000000}" name="ExtratoContaCorrenteJan201613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6" xr16:uid="{00000000-0015-0000-FFFF-FFFF9B000000}" name="ExtratoContaCorrenteJan201614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57" xr16:uid="{00000000-0015-0000-FFFF-FFFF9C000000}" name="ExtratoContaCorrenteJan201621" type="6" refreshedVersion="5" background="1" saveData="1">
    <textPr prompt="0" codePage="437" sourceFile="C:\Users\RG\Dropbox\Despesas\Extratos\ExtratoContaCorrenteJan2016.txt" delimited="0" decimal="," thousands="." consecutive="1">
      <textFields count="4">
        <textField type="DMY"/>
        <textField position="8"/>
        <textField position="66"/>
        <textField position="78"/>
      </textFields>
    </textPr>
  </connection>
  <connection id="158" xr16:uid="{00000000-0015-0000-FFFF-FFFF9D000000}" name="ExtratoContaCorrenteJan20163" type="6" refreshedVersion="5" background="1" saveData="1">
    <textPr prompt="0" codePage="437" sourceFile="C:\Users\RG\Dropbox\Despesas\Extratos\ExtratoContaCorrenteJan2016.txt" delimited="0" decimal="," thousands="." consecutive="1">
      <textFields count="4">
        <textField type="DMY"/>
        <textField position="8"/>
        <textField position="66"/>
        <textField position="78"/>
      </textFields>
    </textPr>
  </connection>
  <connection id="159" xr16:uid="{00000000-0015-0000-FFFF-FFFF9E000000}" name="ExtratoContaCorrenteJan201631" type="6" refreshedVersion="5" background="1" saveData="1">
    <textPr prompt="0" codePage="437" sourceFile="C:\Users\RG\Dropbox\Despesas\Extratos\ExtratoContaCorrenteJan2016.txt" delimited="0" decimal="," thousands="." consecutive="1">
      <textFields count="4">
        <textField type="DMY"/>
        <textField position="8"/>
        <textField position="66"/>
        <textField position="78"/>
      </textFields>
    </textPr>
  </connection>
  <connection id="160" xr16:uid="{00000000-0015-0000-FFFF-FFFF9F000000}" name="ExtratoContaCorrenteJan20164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61" xr16:uid="{00000000-0015-0000-FFFF-FFFFA0000000}" name="ExtratoContaCorrenteJan20165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62" xr16:uid="{00000000-0015-0000-FFFF-FFFFA1000000}" name="ExtratoContaCorrenteJan20166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63" xr16:uid="{00000000-0015-0000-FFFF-FFFFA2000000}" name="ExtratoContaCorrenteJan20167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64" xr16:uid="{00000000-0015-0000-FFFF-FFFFA3000000}" name="ExtratoContaCorrenteJan20168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65" xr16:uid="{00000000-0015-0000-FFFF-FFFFA4000000}" name="ExtratoContaCorrenteJan20169" type="6" refreshedVersion="0" background="1">
    <textPr prompt="0" sourceFile="C:\Users\RG\Dropbox\Despesas\Extratos\ExtratoContaCorrenteJan2016.txt" decimal="," thousands=".">
      <textFields>
        <textField/>
      </textFields>
    </textPr>
  </connection>
  <connection id="166" xr16:uid="{00000000-0015-0000-FFFF-FFFFA5000000}" name="faturaCartao" type="6" refreshedVersion="3" background="1" saveData="1">
    <textPr prompt="0" codePage="932" sourceFile="D:\Despesas\DESPESAS 2012\EXTRATOS CC\faturaCartao.txt" delimited="0" decimal="," thousands=".">
      <textFields count="4">
        <textField type="DMY"/>
        <textField position="8"/>
        <textField position="53"/>
        <textField type="skip" position="72"/>
      </textFields>
    </textPr>
  </connection>
  <connection id="167" xr16:uid="{00000000-0015-0000-FFFF-FFFFA6000000}" name="faturaCartao1" type="6" refreshedVersion="0" background="1">
    <textPr prompt="0" sourceFile="D:\Despesas\Arquivos Banco\faturaCartao.txt" decimal="," thousands=".">
      <textFields>
        <textField/>
      </textFields>
    </textPr>
  </connection>
  <connection id="168" xr16:uid="{00000000-0015-0000-FFFF-FFFFA7000000}" name="faturaCartao10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69" xr16:uid="{00000000-0015-0000-FFFF-FFFFA8000000}" name="faturaCartao100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0" xr16:uid="{00000000-0015-0000-FFFF-FFFFA9000000}" name="faturaCartao101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1" xr16:uid="{00000000-0015-0000-FFFF-FFFFAA000000}" name="faturaCartao102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2" xr16:uid="{00000000-0015-0000-FFFF-FFFFAB000000}" name="faturaCartao103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3" xr16:uid="{00000000-0015-0000-FFFF-FFFFAC000000}" name="faturaCartao104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4" xr16:uid="{00000000-0015-0000-FFFF-FFFFAD000000}" name="faturaCartao105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5" xr16:uid="{00000000-0015-0000-FFFF-FFFFAE000000}" name="faturaCartao106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6" xr16:uid="{00000000-0015-0000-FFFF-FFFFAF000000}" name="faturaCartao107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7" xr16:uid="{00000000-0015-0000-FFFF-FFFFB0000000}" name="faturaCartao108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8" xr16:uid="{00000000-0015-0000-FFFF-FFFFB1000000}" name="faturaCartao109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79" xr16:uid="{00000000-0015-0000-FFFF-FFFFB2000000}" name="faturaCartao11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0" xr16:uid="{00000000-0015-0000-FFFF-FFFFB3000000}" name="faturaCartao110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1" xr16:uid="{00000000-0015-0000-FFFF-FFFFB4000000}" name="faturaCartao111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2" xr16:uid="{00000000-0015-0000-FFFF-FFFFB5000000}" name="faturaCartao112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3" xr16:uid="{00000000-0015-0000-FFFF-FFFFB6000000}" name="faturaCartao113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4" xr16:uid="{00000000-0015-0000-FFFF-FFFFB7000000}" name="faturaCartao114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5" xr16:uid="{00000000-0015-0000-FFFF-FFFFB8000000}" name="faturaCartao115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6" xr16:uid="{00000000-0015-0000-FFFF-FFFFB9000000}" name="faturaCartao116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7" xr16:uid="{00000000-0015-0000-FFFF-FFFFBA000000}" name="faturaCartao117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8" xr16:uid="{00000000-0015-0000-FFFF-FFFFBB000000}" name="faturaCartao118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89" xr16:uid="{00000000-0015-0000-FFFF-FFFFBC000000}" name="faturaCartao119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0" xr16:uid="{00000000-0015-0000-FFFF-FFFFBD000000}" name="faturaCartao12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1" xr16:uid="{00000000-0015-0000-FFFF-FFFFBE000000}" name="faturaCartao120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2" xr16:uid="{00000000-0015-0000-FFFF-FFFFBF000000}" name="faturaCartao121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3" xr16:uid="{00000000-0015-0000-FFFF-FFFFC0000000}" name="faturaCartao122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4" xr16:uid="{00000000-0015-0000-FFFF-FFFFC1000000}" name="faturaCartao123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5" xr16:uid="{00000000-0015-0000-FFFF-FFFFC2000000}" name="faturaCartao124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6" xr16:uid="{00000000-0015-0000-FFFF-FFFFC3000000}" name="faturaCartao125" type="6" refreshedVersion="3" background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7" xr16:uid="{00000000-0015-0000-FFFF-FFFFC4000000}" name="faturaCartao126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8" xr16:uid="{00000000-0015-0000-FFFF-FFFFC5000000}" name="faturaCartao127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199" xr16:uid="{00000000-0015-0000-FFFF-FFFFC6000000}" name="faturaCartao128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0" xr16:uid="{00000000-0015-0000-FFFF-FFFFC7000000}" name="faturaCartao129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1" xr16:uid="{00000000-0015-0000-FFFF-FFFFC8000000}" name="faturaCartao13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2" xr16:uid="{00000000-0015-0000-FFFF-FFFFC9000000}" name="faturaCartao130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3" xr16:uid="{00000000-0015-0000-FFFF-FFFFCA000000}" name="faturaCartao131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4" xr16:uid="{00000000-0015-0000-FFFF-FFFFCB000000}" name="faturaCartao132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5" xr16:uid="{00000000-0015-0000-FFFF-FFFFCC000000}" name="faturaCartao133" type="6" refreshedVersion="3" background="1" saveData="1">
    <textPr prompt="0" sourceFile="C:\Users\Pri&amp;Ro\Dropbox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6" xr16:uid="{00000000-0015-0000-FFFF-FFFFCD000000}" name="faturaCartao14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7" xr16:uid="{00000000-0015-0000-FFFF-FFFFCE000000}" name="faturaCartao15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08" xr16:uid="{00000000-0015-0000-FFFF-FFFFCF000000}" name="faturaCartao16" type="6" refreshedVersion="0" background="1">
    <textPr prompt="0" sourceFile="D:\Despesas\Arquivos Banco\faturaCartao.txt" decimal="," thousands=".">
      <textFields>
        <textField/>
      </textFields>
    </textPr>
  </connection>
  <connection id="209" xr16:uid="{00000000-0015-0000-FFFF-FFFFD0000000}" name="faturaCartao17" type="6" refreshedVersion="0" background="1">
    <textPr prompt="0" sourceFile="D:\Despesas\Arquivos Banco\faturaCartao.txt" decimal="," thousands=".">
      <textFields>
        <textField/>
      </textFields>
    </textPr>
  </connection>
  <connection id="210" xr16:uid="{00000000-0015-0000-FFFF-FFFFD1000000}" name="faturaCartao18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1" xr16:uid="{00000000-0015-0000-FFFF-FFFFD2000000}" name="faturaCartao19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2" xr16:uid="{00000000-0015-0000-FFFF-FFFFD3000000}" name="faturaCartao2" type="6" refreshedVersion="0" background="1">
    <textPr prompt="0" sourceFile="D:\Despesas\Arquivos Banco\faturaCartao.txt" decimal="," thousands=".">
      <textFields>
        <textField/>
      </textFields>
    </textPr>
  </connection>
  <connection id="213" xr16:uid="{00000000-0015-0000-FFFF-FFFFD4000000}" name="faturaCartao20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4" xr16:uid="{00000000-0015-0000-FFFF-FFFFD5000000}" name="faturaCartao21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5" xr16:uid="{00000000-0015-0000-FFFF-FFFFD6000000}" name="faturaCartao22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6" xr16:uid="{00000000-0015-0000-FFFF-FFFFD7000000}" name="faturaCartao23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7" xr16:uid="{00000000-0015-0000-FFFF-FFFFD8000000}" name="faturaCartao24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8" xr16:uid="{00000000-0015-0000-FFFF-FFFFD9000000}" name="faturaCartao25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19" xr16:uid="{00000000-0015-0000-FFFF-FFFFDA000000}" name="faturaCartao26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0" xr16:uid="{00000000-0015-0000-FFFF-FFFFDB000000}" name="faturaCartao27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1" xr16:uid="{00000000-0015-0000-FFFF-FFFFDC000000}" name="faturaCartao28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2" xr16:uid="{00000000-0015-0000-FFFF-FFFFDD000000}" name="faturaCartao29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3" xr16:uid="{00000000-0015-0000-FFFF-FFFFDE000000}" name="faturaCartao3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4" xr16:uid="{00000000-0015-0000-FFFF-FFFFDF000000}" name="faturaCartao30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5" xr16:uid="{00000000-0015-0000-FFFF-FFFFE0000000}" name="faturaCartao31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66"/>
        <textField position="79"/>
      </textFields>
    </textPr>
  </connection>
  <connection id="226" xr16:uid="{00000000-0015-0000-FFFF-FFFFE1000000}" name="faturaCartao32" type="6" refreshedVersion="0" background="1">
    <textPr prompt="0" sourceFile="D:\Despesas\Arquivos Banco\faturaCartao.txt" decimal="," thousands=".">
      <textFields>
        <textField/>
      </textFields>
    </textPr>
  </connection>
  <connection id="227" xr16:uid="{00000000-0015-0000-FFFF-FFFFE2000000}" name="faturaCartao33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8" xr16:uid="{00000000-0015-0000-FFFF-FFFFE3000000}" name="faturaCartao34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29" xr16:uid="{00000000-0015-0000-FFFF-FFFFE4000000}" name="faturaCartao35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30" xr16:uid="{00000000-0015-0000-FFFF-FFFFE5000000}" name="faturaCartao36" type="6" refreshedVersion="0" background="1">
    <textPr prompt="0" sourceFile="D:\Despesas\Arquivos Banco\faturaCartao.txt" decimal="," thousands=".">
      <textFields>
        <textField/>
      </textFields>
    </textPr>
  </connection>
  <connection id="231" xr16:uid="{00000000-0015-0000-FFFF-FFFFE6000000}" name="faturaCartao37" type="6" refreshedVersion="0" background="1">
    <textPr prompt="0" sourceFile="D:\Despesas\Arquivos Banco\faturaCartao.txt" decimal="," thousands=".">
      <textFields>
        <textField/>
      </textFields>
    </textPr>
  </connection>
  <connection id="232" xr16:uid="{00000000-0015-0000-FFFF-FFFFE7000000}" name="faturaCartao38" type="6" refreshedVersion="0" background="1">
    <textPr prompt="0" sourceFile="D:\Despesas\Arquivos Banco\faturaCartao.txt" decimal="," thousands=".">
      <textFields>
        <textField/>
      </textFields>
    </textPr>
  </connection>
  <connection id="233" xr16:uid="{00000000-0015-0000-FFFF-FFFFE8000000}" name="faturaCartao39" type="6" refreshedVersion="0" background="1">
    <textPr prompt="0" sourceFile="D:\Despesas\Arquivos Banco\faturaCartao.txt" decimal="," thousands=".">
      <textFields>
        <textField/>
      </textFields>
    </textPr>
  </connection>
  <connection id="234" xr16:uid="{00000000-0015-0000-FFFF-FFFFE9000000}" name="faturaCartao4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35" xr16:uid="{00000000-0015-0000-FFFF-FFFFEA000000}" name="faturaCartao40" type="6" refreshedVersion="0" background="1">
    <textPr prompt="0" sourceFile="D:\Despesas\Arquivos Banco\faturaCartao.txt" decimal="," thousands=".">
      <textFields>
        <textField/>
      </textFields>
    </textPr>
  </connection>
  <connection id="236" xr16:uid="{00000000-0015-0000-FFFF-FFFFEB000000}" name="faturaCartao41" type="6" refreshedVersion="0" background="1">
    <textPr prompt="0" sourceFile="D:\Despesas\Arquivos Banco\faturaCartao.txt" decimal="," thousands=".">
      <textFields>
        <textField/>
      </textFields>
    </textPr>
  </connection>
  <connection id="237" xr16:uid="{00000000-0015-0000-FFFF-FFFFEC000000}" name="faturaCartao42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38" xr16:uid="{00000000-0015-0000-FFFF-FFFFED000000}" name="faturaCartao43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39" xr16:uid="{00000000-0015-0000-FFFF-FFFFEE000000}" name="faturaCartao44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0" xr16:uid="{00000000-0015-0000-FFFF-FFFFEF000000}" name="faturaCartao45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1" xr16:uid="{00000000-0015-0000-FFFF-FFFFF0000000}" name="faturaCartao46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2" xr16:uid="{00000000-0015-0000-FFFF-FFFFF1000000}" name="faturaCartao47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3" xr16:uid="{00000000-0015-0000-FFFF-FFFFF2000000}" name="faturaCartao48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4" xr16:uid="{00000000-0015-0000-FFFF-FFFFF3000000}" name="faturaCartao49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5" xr16:uid="{00000000-0015-0000-FFFF-FFFFF4000000}" name="faturaCartao5" type="6" refreshedVersion="0" background="1">
    <textPr prompt="0" sourceFile="D:\Despesas\Arquivos Banco\faturaCartao.txt" decimal="," thousands=".">
      <textFields>
        <textField/>
      </textFields>
    </textPr>
  </connection>
  <connection id="246" xr16:uid="{00000000-0015-0000-FFFF-FFFFF5000000}" name="faturaCartao50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7" xr16:uid="{00000000-0015-0000-FFFF-FFFFF6000000}" name="faturaCartao51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8" xr16:uid="{00000000-0015-0000-FFFF-FFFFF7000000}" name="faturaCartao52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49" xr16:uid="{00000000-0015-0000-FFFF-FFFFF8000000}" name="faturaCartao53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0" xr16:uid="{00000000-0015-0000-FFFF-FFFFF9000000}" name="faturaCartao54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1" xr16:uid="{00000000-0015-0000-FFFF-FFFFFA000000}" name="faturaCartao55" type="6" refreshedVersion="0" background="1">
    <textPr prompt="0" sourceFile="D:\Despesas\Arquivos Banco\faturaCartao.txt" decimal="," thousands=".">
      <textFields>
        <textField/>
      </textFields>
    </textPr>
  </connection>
  <connection id="252" xr16:uid="{00000000-0015-0000-FFFF-FFFFFB000000}" name="faturaCartao56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3" xr16:uid="{00000000-0015-0000-FFFF-FFFFFC000000}" name="faturaCartao57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4" xr16:uid="{00000000-0015-0000-FFFF-FFFFFD000000}" name="faturaCartao58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5" xr16:uid="{00000000-0015-0000-FFFF-FFFFFE000000}" name="faturaCartao59" type="6" refreshedVersion="3" background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6" xr16:uid="{00000000-0015-0000-FFFF-FFFFFF000000}" name="faturaCartao6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7" xr16:uid="{00000000-0015-0000-FFFF-FFFF00010000}" name="faturaCartao60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8" xr16:uid="{00000000-0015-0000-FFFF-FFFF01010000}" name="faturaCartao61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59" xr16:uid="{00000000-0015-0000-FFFF-FFFF02010000}" name="faturaCartao62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0" xr16:uid="{00000000-0015-0000-FFFF-FFFF03010000}" name="faturaCartao63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1" xr16:uid="{00000000-0015-0000-FFFF-FFFF04010000}" name="faturaCartao64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2" xr16:uid="{00000000-0015-0000-FFFF-FFFF05010000}" name="faturaCartao65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3" xr16:uid="{00000000-0015-0000-FFFF-FFFF06010000}" name="faturaCartao66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4" xr16:uid="{00000000-0015-0000-FFFF-FFFF07010000}" name="faturaCartao67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5" xr16:uid="{00000000-0015-0000-FFFF-FFFF08010000}" name="faturaCartao68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6" xr16:uid="{00000000-0015-0000-FFFF-FFFF09010000}" name="faturaCartao69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7" xr16:uid="{00000000-0015-0000-FFFF-FFFF0A010000}" name="faturaCartao7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8" xr16:uid="{00000000-0015-0000-FFFF-FFFF0B010000}" name="faturaCartao70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69" xr16:uid="{00000000-0015-0000-FFFF-FFFF0C010000}" name="faturaCartao71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0" xr16:uid="{00000000-0015-0000-FFFF-FFFF0D010000}" name="faturaCartao72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1" xr16:uid="{00000000-0015-0000-FFFF-FFFF0E010000}" name="faturaCartao73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2" xr16:uid="{00000000-0015-0000-FFFF-FFFF0F010000}" name="faturaCartao74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3" xr16:uid="{00000000-0015-0000-FFFF-FFFF10010000}" name="faturaCartao75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4" xr16:uid="{00000000-0015-0000-FFFF-FFFF11010000}" name="faturaCartao76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5" xr16:uid="{00000000-0015-0000-FFFF-FFFF12010000}" name="faturaCartao77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6" xr16:uid="{00000000-0015-0000-FFFF-FFFF13010000}" name="faturaCartao78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7" xr16:uid="{00000000-0015-0000-FFFF-FFFF14010000}" name="faturaCartao79" type="6" refreshedVersion="3" background="1" saveData="1">
    <textPr prompt="0" sourceFile="C:\Users\Ronald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8" xr16:uid="{00000000-0015-0000-FFFF-FFFF15010000}" name="faturaCartao8" type="6" refreshedVersion="3" background="1" saveData="1">
    <textPr prompt="0" sourceFile="D:\Despesas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79" xr16:uid="{00000000-0015-0000-FFFF-FFFF16010000}" name="faturaCartao80" type="6" refreshedVersion="0" background="1">
    <textPr prompt="0" sourceFile="C:\Users\Ronaldo\Dropbox\Despesas 2014\Arquivos Banco\faturaCartao.txt" decimal="," thousands=".">
      <textFields>
        <textField/>
      </textFields>
    </textPr>
  </connection>
  <connection id="280" xr16:uid="{00000000-0015-0000-FFFF-FFFF17010000}" name="faturaCartao81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1" xr16:uid="{00000000-0015-0000-FFFF-FFFF18010000}" name="faturaCartao82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2" xr16:uid="{00000000-0015-0000-FFFF-FFFF19010000}" name="faturaCartao83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3" xr16:uid="{00000000-0015-0000-FFFF-FFFF1A010000}" name="faturaCartao84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4" xr16:uid="{00000000-0015-0000-FFFF-FFFF1B010000}" name="faturaCartao85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5" xr16:uid="{00000000-0015-0000-FFFF-FFFF1C010000}" name="faturaCartao86" type="6" refreshedVersion="3" background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6" xr16:uid="{00000000-0015-0000-FFFF-FFFF1D010000}" name="faturaCartao87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7" xr16:uid="{00000000-0015-0000-FFFF-FFFF1E010000}" name="faturaCartao88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8" xr16:uid="{00000000-0015-0000-FFFF-FFFF1F010000}" name="faturaCartao89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89" xr16:uid="{00000000-0015-0000-FFFF-FFFF20010000}" name="faturaCartao9" type="6" refreshedVersion="0" background="1">
    <textPr prompt="0" sourceFile="D:\Despesas\Arquivos Banco\faturaCartao.txt" decimal="," thousands=".">
      <textFields>
        <textField/>
      </textFields>
    </textPr>
  </connection>
  <connection id="290" xr16:uid="{00000000-0015-0000-FFFF-FFFF21010000}" name="faturaCartao90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1" xr16:uid="{00000000-0015-0000-FFFF-FFFF22010000}" name="faturaCartao91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2" xr16:uid="{00000000-0015-0000-FFFF-FFFF23010000}" name="faturaCartao92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3" xr16:uid="{00000000-0015-0000-FFFF-FFFF24010000}" name="faturaCartao93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4" xr16:uid="{00000000-0015-0000-FFFF-FFFF25010000}" name="faturaCartao94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5" xr16:uid="{00000000-0015-0000-FFFF-FFFF26010000}" name="faturaCartao95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6" xr16:uid="{00000000-0015-0000-FFFF-FFFF27010000}" name="faturaCartao96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7" xr16:uid="{00000000-0015-0000-FFFF-FFFF28010000}" name="faturaCartao97" type="6" refreshedVersion="3" background="1" saveData="1">
    <textPr prompt="0" sourceFile="C:\Users\RG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298" xr16:uid="{00000000-0015-0000-FFFF-FFFF29010000}" name="faturaCartao98" type="6" refreshedVersion="0" background="1">
    <textPr prompt="0" sourceFile="C:\Users\RG\Dropbox\Despesas 2014\Arquivos Banco\faturaCartao.txt" decimal="," thousands=".">
      <textFields>
        <textField/>
      </textFields>
    </textPr>
  </connection>
  <connection id="299" xr16:uid="{00000000-0015-0000-FFFF-FFFF2A010000}" name="faturaCartao99" type="6" refreshedVersion="3" background="1" saveData="1">
    <textPr prompt="0" sourceFile="C:\Users\Pri&amp;Ro\Dropbox\Despesas 2014\Arquivos Banco\faturaCartao.txt" delimited="0" decimal="," thousands=".">
      <textFields count="4">
        <textField type="DMY"/>
        <textField position="8"/>
        <textField position="56"/>
        <textField position="69"/>
      </textFields>
    </textPr>
  </connection>
  <connection id="300" xr16:uid="{00000000-0015-0000-FFFF-FFFF2B010000}" name="Jan2016_ExtratoCartaoCredito" type="6" refreshedVersion="5" background="1" saveData="1">
    <textPr prompt="0" codePage="437" sourceFile="C:\Users\RG\Dropbox\Despesas\Extratos\Jan2016_ExtratoCartaoCredito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301" xr16:uid="{00000000-0015-0000-FFFF-FFFF2D010000}" name="Jan2016_ExtratoCartaoCredito10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02" xr16:uid="{00000000-0015-0000-FFFF-FFFF2E010000}" name="Jan2016_ExtratoCartaoCredito111" type="6" refreshedVersion="5" background="1" saveData="1">
    <textPr prompt="0" codePage="437" sourceFile="C:\Users\RG\Dropbox\Despesas\Extratos\Jan2016_ExtratoCartaoCredito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303" xr16:uid="{00000000-0015-0000-FFFF-FFFF2F010000}" name="Jan2016_ExtratoCartaoCredito2" type="6" refreshedVersion="5" background="1" saveData="1">
    <textPr prompt="0" codePage="437" sourceFile="C:\Users\RG\Dropbox\Despesas\Extratos\Jan2016_ExtratoCartaoCredito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304" xr16:uid="{00000000-0015-0000-FFFF-FFFF30010000}" name="Jan2016_ExtratoCartaoCredito211" type="6" refreshedVersion="5" background="1" saveData="1">
    <textPr prompt="0" codePage="437" sourceFile="C:\Users\RG\Dropbox\Despesas\Extratos\Jan2016_ExtratoCartaoCredito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305" xr16:uid="{00000000-0015-0000-FFFF-FFFF31010000}" name="Jan2016_ExtratoCartaoCredito3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06" xr16:uid="{00000000-0015-0000-FFFF-FFFF32010000}" name="Jan2016_ExtratoCartaoCredito31" type="6" refreshedVersion="5" background="1" saveData="1">
    <textPr prompt="0" codePage="437" sourceFile="C:\Users\RG\Dropbox\Despesas\Extratos\Jan2016_ExtratoCartaoCredito.txt" delimited="0" decimal="," thousands="." consecutive="1">
      <textFields count="4">
        <textField/>
        <textField position="8"/>
        <textField position="60"/>
        <textField position="74"/>
      </textFields>
    </textPr>
  </connection>
  <connection id="307" xr16:uid="{00000000-0015-0000-FFFF-FFFF33010000}" name="Jan2016_ExtratoCartaoCredito4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08" xr16:uid="{00000000-0015-0000-FFFF-FFFF34010000}" name="Jan2016_ExtratoCartaoCredito5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09" xr16:uid="{00000000-0015-0000-FFFF-FFFF35010000}" name="Jan2016_ExtratoCartaoCredito6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10" xr16:uid="{00000000-0015-0000-FFFF-FFFF36010000}" name="Jan2016_ExtratoCartaoCredito7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11" xr16:uid="{00000000-0015-0000-FFFF-FFFF37010000}" name="Jan2016_ExtratoCartaoCredito8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12" xr16:uid="{00000000-0015-0000-FFFF-FFFF38010000}" name="Jan2016_ExtratoCartaoCredito9" type="6" refreshedVersion="0" background="1">
    <textPr prompt="0" sourceFile="C:\Users\RG\Dropbox\Despesas\Extratos\Jan2016_ExtratoCartaoCredito.txt" decimal="," thousands=".">
      <textFields>
        <textField/>
      </textFields>
    </textPr>
  </connection>
  <connection id="313" xr16:uid="{00000000-0015-0000-FFFF-FFFF39010000}" name="Jan2016_ExtratoContaCorrente" type="6" refreshedVersion="5" background="1" saveData="1">
    <textPr prompt="0" codePage="437" sourceFile="C:\Users\RG\Dropbox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14" xr16:uid="{00000000-0015-0000-FFFF-FFFF3A010000}" name="Jan2016_ExtratoContaCorrente1" type="6" refreshedVersion="5" background="1" saveData="1">
    <textPr prompt="0" codePage="437" sourceFile="C:\Users\RG\Dropbox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15" xr16:uid="{00000000-0015-0000-FFFF-FFFF3B010000}" name="Jan2016_ExtratoContaCorrente111" type="6" refreshedVersion="5" background="1" saveData="1">
    <textPr prompt="0" codePage="437" sourceFile="C:\Users\RG\Dropbox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16" xr16:uid="{00000000-0015-0000-FFFF-FFFF3C010000}" name="Jan2016_ExtratoContaCorrente2" type="6" refreshedVersion="5" background="1" saveData="1">
    <textPr prompt="0" codePage="437" sourceFile="C:\Users\RG\Dropbox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17" xr16:uid="{00000000-0015-0000-FFFF-FFFF3D010000}" name="Jan2016_ExtratoContaCorrente211" type="6" refreshedVersion="5" background="1" saveData="1">
    <textPr prompt="0" codePage="437" sourceFile="C:\Users\RG\Dropbox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18" xr16:uid="{00000000-0015-0000-FFFF-FFFF3E010000}" name="Jan2016_ExtratoContaCorrente3" type="6" refreshedVersion="0" background="1">
    <textPr prompt="0" sourceFile="C:\Users\RG\Dropbox\Despesas\Extratos\Jan2016_ExtratoContaCorrente.txt" decimal="," thousands=".">
      <textFields>
        <textField/>
      </textFields>
    </textPr>
  </connection>
  <connection id="319" xr16:uid="{00000000-0015-0000-FFFF-FFFF3F010000}" name="Jan2016_ExtratoContaCorrente31" type="6" refreshedVersion="5" background="1" saveData="1">
    <textPr prompt="0" codePage="437" sourceFile="C:\Users\RG\Dropbox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20" xr16:uid="{00000000-0015-0000-FFFF-FFFF40010000}" name="Jan2016_ExtratoContaCorrente4" type="6" refreshedVersion="0" background="1">
    <textPr prompt="0" sourceFile="C:\Users\RG\Dropbox\Despesas\Extratos\Jan2016_ExtratoContaCorrente.txt" decimal="," thousands=".">
      <textFields>
        <textField/>
      </textFields>
    </textPr>
  </connection>
  <connection id="321" xr16:uid="{00000000-0015-0000-FFFF-FFFF41010000}" name="Jan2016_ExtratoContaCorrente5" type="6" refreshedVersion="0" background="1">
    <textPr prompt="0" sourceFile="C:\Users\RG\Dropbox\Despesas\Extratos\Jan2016_ExtratoContaCorrente.txt" decimal="," thousands=".">
      <textFields>
        <textField/>
      </textFields>
    </textPr>
  </connection>
  <connection id="322" xr16:uid="{00000000-0015-0000-FFFF-FFFF42010000}" name="Jan2016_ExtratoContaCorrente6" type="6" refreshedVersion="0" background="1">
    <textPr prompt="0" sourceFile="C:\Users\RG\Dropbox\Despesas\Extratos\Jan2016_ExtratoContaCorrente.txt" decimal="," thousands=".">
      <textFields>
        <textField/>
      </textFields>
    </textPr>
  </connection>
  <connection id="323" xr16:uid="{00000000-0015-0000-FFFF-FFFF43010000}" name="Jan2016_ExtratoContaCorrente7" type="6" refreshedVersion="0" background="1">
    <textPr prompt="0" sourceFile="C:\Users\RG\Dropbox\Despesas\Extratos\Jan2016_ExtratoContaCorrente.txt" decimal="," thousands=".">
      <textFields>
        <textField/>
      </textFields>
    </textPr>
  </connection>
  <connection id="324" xr16:uid="{00000000-0015-0000-FFFF-FFFF44010000}" name="Jan2016_ExtratoContaCorrente8" type="6" refreshedVersion="6" background="1" saveData="1">
    <textPr prompt="0" codePage="437" sourceFile="C:\Users\RG\OneDrive\Despesas\Extratos\Jan2016_ExtratoContaCorrente.txt" delimited="0" decimal="," thousands="." consecutive="1">
      <textFields count="4">
        <textField type="DMY"/>
        <textField position="8"/>
        <textField position="67"/>
        <textField position="79"/>
      </textFields>
    </textPr>
  </connection>
  <connection id="325" xr16:uid="{00000000-0015-0000-FFFF-FFFF4E010000}" name="Saldo_CC_Pri" type="6" refreshedVersion="3" background="1">
    <textPr prompt="0" codePage="1258" sourceFile="D:\Despesas\Arquivos Banco\Saldo_CC_Pri.txt" delimited="0" decimal="," thousands=".">
      <textFields count="3">
        <textField/>
        <textField position="5"/>
        <textField position="39"/>
      </textFields>
    </textPr>
  </connection>
  <connection id="326" xr16:uid="{00000000-0015-0000-FFFF-FFFF4F010000}" name="Saldo_CC_Pri1" type="6" refreshedVersion="3" background="1">
    <textPr prompt="0" codePage="1258" sourceFile="D:\Despesas\Arquivos Banco\Saldo_CC_Pri.txt" delimited="0" decimal="," thousands=".">
      <textFields count="3">
        <textField/>
        <textField position="5"/>
        <textField position="39"/>
      </textFields>
    </textPr>
  </connection>
</connections>
</file>

<file path=xl/sharedStrings.xml><?xml version="1.0" encoding="utf-8"?>
<sst xmlns="http://schemas.openxmlformats.org/spreadsheetml/2006/main" count="510" uniqueCount="185">
  <si>
    <t>Mês</t>
  </si>
  <si>
    <t>Despesas</t>
  </si>
  <si>
    <t>Previsto</t>
  </si>
  <si>
    <t>Pago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</si>
  <si>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</si>
  <si>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</si>
  <si>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</si>
  <si>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</si>
  <si>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</si>
  <si>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</si>
  <si>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</si>
  <si>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</si>
  <si>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</si>
  <si>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</si>
  <si>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</si>
  <si>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</si>
  <si>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min</t>
  </si>
  <si>
    <t>max</t>
  </si>
  <si>
    <t>Aliquota</t>
  </si>
  <si>
    <t>Dedução</t>
  </si>
  <si>
    <t>Teto</t>
  </si>
  <si>
    <t>Mês / Status</t>
  </si>
  <si>
    <t>Descontos</t>
  </si>
  <si>
    <t>FGTS</t>
  </si>
  <si>
    <t>PREVISÃO PROX. ANO</t>
  </si>
  <si>
    <t>Fixas</t>
  </si>
  <si>
    <t>Condomínio</t>
  </si>
  <si>
    <t>Prestação casa</t>
  </si>
  <si>
    <t>Prestação carro</t>
  </si>
  <si>
    <t>IPTU</t>
  </si>
  <si>
    <t>IPVA</t>
  </si>
  <si>
    <t>Cartão de Crédito</t>
  </si>
  <si>
    <t>Item</t>
  </si>
  <si>
    <t>Data</t>
  </si>
  <si>
    <t>Descrição</t>
  </si>
  <si>
    <t>P</t>
  </si>
  <si>
    <t>Base Calculo IR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</si>
  <si>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</si>
  <si>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</si>
  <si>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</si>
  <si>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</si>
  <si>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</si>
  <si>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</si>
  <si>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</si>
  <si>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</si>
  <si>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</si>
  <si>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</si>
  <si>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</si>
  <si>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</si>
  <si>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1 - RECEITAS</t>
  </si>
  <si>
    <t>2 - TABELAS</t>
  </si>
  <si>
    <t>% Salário</t>
  </si>
  <si>
    <t xml:space="preserve">PETROS </t>
  </si>
  <si>
    <t>Depend.</t>
  </si>
  <si>
    <t>Desc. Apr. (des./salar.)</t>
  </si>
  <si>
    <t>Código</t>
  </si>
  <si>
    <t>Viagem</t>
  </si>
  <si>
    <t>VIA</t>
  </si>
  <si>
    <t>Supermecado</t>
  </si>
  <si>
    <t>SUP</t>
  </si>
  <si>
    <t>Jantar Fora</t>
  </si>
  <si>
    <t>Presentes</t>
  </si>
  <si>
    <t>PRE</t>
  </si>
  <si>
    <t>Salão</t>
  </si>
  <si>
    <t>SAL</t>
  </si>
  <si>
    <t>Cortes de cabelo, unhas, depilações etc.</t>
  </si>
  <si>
    <t>Artigos para casa</t>
  </si>
  <si>
    <t>CAS</t>
  </si>
  <si>
    <t>Informática</t>
  </si>
  <si>
    <t>INF</t>
  </si>
  <si>
    <t>Observação</t>
  </si>
  <si>
    <t>NA</t>
  </si>
  <si>
    <t>Nenhuma obs.</t>
  </si>
  <si>
    <t>CD</t>
  </si>
  <si>
    <t>Restaurante, lanches que NÃO são feitas nos supermecados.</t>
  </si>
  <si>
    <t>Presentes .</t>
  </si>
  <si>
    <t>Entrada</t>
  </si>
  <si>
    <t>#</t>
  </si>
  <si>
    <t>Ganho Nov</t>
  </si>
  <si>
    <t>Entrada Salários (A-D)</t>
  </si>
  <si>
    <t>Capital (B)</t>
  </si>
  <si>
    <r>
      <t xml:space="preserve">Total Despesas </t>
    </r>
    <r>
      <rPr>
        <b/>
        <i/>
        <sz val="8"/>
        <color rgb="FF006600"/>
        <rFont val="Calibri"/>
        <family val="2"/>
        <scheme val="minor"/>
      </rPr>
      <t>(C)</t>
    </r>
  </si>
  <si>
    <r>
      <t>Saldo Mês</t>
    </r>
    <r>
      <rPr>
        <b/>
        <i/>
        <sz val="8"/>
        <color theme="5" tint="-0.249977111117893"/>
        <rFont val="Calibri"/>
        <family val="2"/>
        <scheme val="minor"/>
      </rPr>
      <t>(A-D-C)</t>
    </r>
  </si>
  <si>
    <r>
      <t xml:space="preserve">Saldo Total Capital </t>
    </r>
    <r>
      <rPr>
        <b/>
        <i/>
        <sz val="8"/>
        <color theme="5" tint="-0.249977111117893"/>
        <rFont val="Calibri"/>
        <family val="2"/>
        <scheme val="minor"/>
      </rPr>
      <t>(A+B-D-C)</t>
    </r>
  </si>
  <si>
    <t>Em andamento</t>
  </si>
  <si>
    <t>Calculos finalizados, fechamento OK</t>
  </si>
  <si>
    <t>Fechamento pendente</t>
  </si>
  <si>
    <t>A</t>
  </si>
  <si>
    <t>B</t>
  </si>
  <si>
    <t>C</t>
  </si>
  <si>
    <t>D</t>
  </si>
  <si>
    <t>Valor R$</t>
  </si>
  <si>
    <t>ENTRADAS NO INÍCIO DO MÊS</t>
  </si>
  <si>
    <t>ENTRADAS DURANTE O PERÍODO</t>
  </si>
  <si>
    <t>E</t>
  </si>
  <si>
    <r>
      <t xml:space="preserve">Valor Liq. Depositado Priscila </t>
    </r>
    <r>
      <rPr>
        <b/>
        <sz val="10"/>
        <color rgb="FFFF0000"/>
        <rFont val="Calibri"/>
        <family val="2"/>
        <scheme val="minor"/>
      </rPr>
      <t>(A)</t>
    </r>
  </si>
  <si>
    <r>
      <t xml:space="preserve">Valor Liq. Depositado Ronaldo </t>
    </r>
    <r>
      <rPr>
        <b/>
        <sz val="10"/>
        <color rgb="FFFF0000"/>
        <rFont val="Calibri"/>
        <family val="2"/>
        <scheme val="minor"/>
      </rPr>
      <t>(A)</t>
    </r>
  </si>
  <si>
    <t>Proventos (Entrada 1)</t>
  </si>
  <si>
    <t>RECEITA LÍQUIDA         (A-D)</t>
  </si>
  <si>
    <t>Outras (Entrada 2)</t>
  </si>
  <si>
    <r>
      <t xml:space="preserve">TOTAL DESC. </t>
    </r>
    <r>
      <rPr>
        <b/>
        <sz val="10"/>
        <color rgb="FFFF0000"/>
        <rFont val="Calibri"/>
        <family val="2"/>
        <scheme val="minor"/>
      </rPr>
      <t>(TOTAL D)</t>
    </r>
  </si>
  <si>
    <t xml:space="preserve">Juros </t>
  </si>
  <si>
    <t>Pagamento anuidade</t>
  </si>
  <si>
    <t>%</t>
  </si>
  <si>
    <t>DESPESAS VARIÁVEIS</t>
  </si>
  <si>
    <t xml:space="preserve">DESPESAS FIXAS </t>
  </si>
  <si>
    <t>Soma</t>
  </si>
  <si>
    <t>Rótulos de Linha</t>
  </si>
  <si>
    <t>Valores</t>
  </si>
  <si>
    <t>Valor</t>
  </si>
  <si>
    <t>Soma de Valor Liq. Depositado Priscila (A)</t>
  </si>
  <si>
    <t>Soma de Valor Liq. Depositado Ronaldo (A)</t>
  </si>
  <si>
    <r>
      <t xml:space="preserve">Acumulado </t>
    </r>
    <r>
      <rPr>
        <b/>
        <sz val="10"/>
        <color rgb="FFFF0000"/>
        <rFont val="Calibri"/>
        <family val="2"/>
        <scheme val="minor"/>
      </rPr>
      <t>(B)</t>
    </r>
  </si>
  <si>
    <t>TOTAL ACUMULADO (B)</t>
  </si>
  <si>
    <t>TOTAL CRÉDITOS (E)</t>
  </si>
  <si>
    <r>
      <t xml:space="preserve">Outras Créditos </t>
    </r>
    <r>
      <rPr>
        <b/>
        <sz val="10"/>
        <color rgb="FFFF0000"/>
        <rFont val="Calibri"/>
        <family val="2"/>
        <scheme val="minor"/>
      </rPr>
      <t>(E)</t>
    </r>
  </si>
  <si>
    <t>Soma de Acumulado (B)</t>
  </si>
  <si>
    <t>Soma de Outras Créditos (E)</t>
  </si>
  <si>
    <t>&gt;&gt;&gt;DESPESAS</t>
  </si>
  <si>
    <t>&gt;&gt;&gt; ENTRADAS DURANTE O MÊS</t>
  </si>
  <si>
    <t>FXCON</t>
  </si>
  <si>
    <t>FXLAR</t>
  </si>
  <si>
    <t>FXCAR</t>
  </si>
  <si>
    <t>FXIPTU</t>
  </si>
  <si>
    <t>FXIPVA</t>
  </si>
  <si>
    <t>Ultimo dia Mês</t>
  </si>
  <si>
    <t>Data Hoje</t>
  </si>
  <si>
    <r>
      <t xml:space="preserve">TOTAL PROV. LIQ. DEPOSIT. </t>
    </r>
    <r>
      <rPr>
        <b/>
        <sz val="10"/>
        <color rgb="FFFF0000"/>
        <rFont val="Calibri"/>
        <family val="2"/>
        <scheme val="minor"/>
      </rPr>
      <t>(A-D)</t>
    </r>
  </si>
  <si>
    <t>Soma de TOTAL PROV. LIQ. DEPOSIT. (A-D)</t>
  </si>
  <si>
    <t>&gt;&gt;&gt;CLASSIFICAÇÕES (senha 2014)</t>
  </si>
  <si>
    <t>% Fixas/Gastos</t>
  </si>
  <si>
    <t>% Debitos em Conta Corrente/Gasto</t>
  </si>
  <si>
    <t>% Cartão de Crédito/ Gasto</t>
  </si>
  <si>
    <t>Total Despesas © / Entrada</t>
  </si>
  <si>
    <t>Fechar Cartao</t>
  </si>
  <si>
    <t>Gasto dia Cartao</t>
  </si>
  <si>
    <t>Prestação do consorcio, financeamento,</t>
  </si>
  <si>
    <t>Itens de inforática, celurares, livros</t>
  </si>
  <si>
    <t>Visitas familiares, viagens de finais de semana e feriados. NÃO UNCLUIR PASSAGEM AEREA</t>
  </si>
  <si>
    <t>Compras em supermecado, padaria</t>
  </si>
  <si>
    <t>Moveis, louças, mesa e banho, reparos.</t>
  </si>
  <si>
    <t>Data fecha CARTAO CREDITO</t>
  </si>
  <si>
    <t>Data fecha CONTA CORRENTE</t>
  </si>
  <si>
    <t>ANO 2015</t>
  </si>
  <si>
    <t>INSS - 2015</t>
  </si>
  <si>
    <t>IR - 2015</t>
  </si>
  <si>
    <t>Valores emprestados a terceiros</t>
  </si>
  <si>
    <t>Total Geral</t>
  </si>
  <si>
    <t>É Prestação?</t>
  </si>
  <si>
    <t>s</t>
  </si>
  <si>
    <t>n</t>
  </si>
  <si>
    <t>Valor $</t>
  </si>
  <si>
    <t>PT</t>
  </si>
  <si>
    <t>cc</t>
  </si>
  <si>
    <t>Descrição Contas Parceladas</t>
  </si>
  <si>
    <t>Descrição Contas à Vista</t>
  </si>
  <si>
    <t>Data Atualização</t>
  </si>
  <si>
    <t>Dólar Fechamento</t>
  </si>
  <si>
    <t xml:space="preserve">       DADOS</t>
  </si>
  <si>
    <t>&lt;&lt;&lt;&lt;&lt;&lt;  CARTÃO CRÉDITO   &gt;&gt;&gt;&gt;&gt;&gt;&gt;&gt;&gt;&gt;&gt;&gt;&gt;&gt;&gt;&gt;&gt;&gt;&gt;&gt;&gt;&gt;&gt;&gt;&gt;&gt;&gt;&gt;&gt;&gt;&gt;&gt;&gt;&gt;&gt;&gt;&gt;&gt;&gt;&gt;&gt;&gt;&gt;&gt;&gt;&gt;&gt;&gt;&gt;</t>
  </si>
  <si>
    <t>lista prestação</t>
  </si>
  <si>
    <t>Lista nº prestação</t>
  </si>
  <si>
    <t>TOTAL DEBITOS EM CONTA CORRENTE</t>
  </si>
  <si>
    <r>
      <rPr>
        <b/>
        <sz val="24"/>
        <color theme="0"/>
        <rFont val="Calibri"/>
        <family val="2"/>
        <scheme val="minor"/>
      </rPr>
      <t>BANCO DADOS</t>
    </r>
    <r>
      <rPr>
        <b/>
        <sz val="28"/>
        <color theme="0"/>
        <rFont val="Calibri"/>
        <family val="2"/>
        <scheme val="minor"/>
      </rPr>
      <t xml:space="preserve">  </t>
    </r>
    <r>
      <rPr>
        <b/>
        <sz val="28"/>
        <color theme="4"/>
        <rFont val="Calibri"/>
        <family val="2"/>
        <scheme val="minor"/>
      </rPr>
      <t>JANEIRO</t>
    </r>
  </si>
  <si>
    <t>&lt;&lt;&lt;&lt;&lt;&lt; CONTA CORRENTE  &gt;&gt;&gt;&gt;&gt;&gt;&gt;&gt;&gt;&gt;&gt;&gt;&gt;&gt;&gt;&gt;&gt;&gt;&gt;&gt;&gt;&gt;&gt;&gt;&gt;&gt;&gt;&gt;&gt;&gt;&gt;&gt;&gt;&gt;&gt;&gt;&gt;&gt;&gt;&gt;&gt;&gt;&gt;&gt;&gt;&gt;&gt;&gt;&gt;&gt;&gt;&gt;&gt;&gt;&gt;&gt;&gt;&gt;&gt;&gt;&gt;&gt;&gt;&gt;&gt;&gt;&gt;&gt;</t>
  </si>
  <si>
    <t>Outros Debitos em Conta Corrente</t>
  </si>
  <si>
    <t>Parcelas do Mês Anterior</t>
  </si>
  <si>
    <t>1.1. Compras à vista</t>
  </si>
  <si>
    <t>1.2. Compras parceladas</t>
  </si>
  <si>
    <t>TOTAL CARTÃO CRÉDITO
(parcelado + à vista)</t>
  </si>
  <si>
    <t>2. Total Previsto
(1.1 + 1.3)</t>
  </si>
  <si>
    <t>1. Total Real
(1.1 + 1.2)</t>
  </si>
  <si>
    <t>1.3. Compras parcelas
(meses anteriores)</t>
  </si>
  <si>
    <t>&gt; R$ 4.664,68</t>
  </si>
  <si>
    <t>ANO 2016</t>
  </si>
  <si>
    <r>
      <t xml:space="preserve">INSS  </t>
    </r>
    <r>
      <rPr>
        <b/>
        <sz val="10"/>
        <color rgb="FFFF0000"/>
        <rFont val="Calibri"/>
        <family val="2"/>
        <scheme val="minor"/>
      </rPr>
      <t>(D)</t>
    </r>
  </si>
  <si>
    <r>
      <t xml:space="preserve">IR  </t>
    </r>
    <r>
      <rPr>
        <b/>
        <sz val="10"/>
        <color rgb="FFFF0000"/>
        <rFont val="Calibri"/>
        <family val="2"/>
        <scheme val="minor"/>
      </rPr>
      <t>(D)</t>
    </r>
  </si>
  <si>
    <t>OUTROS</t>
  </si>
  <si>
    <r>
      <t xml:space="preserve">Outros 1  </t>
    </r>
    <r>
      <rPr>
        <b/>
        <sz val="10"/>
        <color rgb="FFFF0000"/>
        <rFont val="Calibri"/>
        <family val="2"/>
        <scheme val="minor"/>
      </rPr>
      <t>(D)</t>
    </r>
  </si>
  <si>
    <r>
      <t xml:space="preserve">Outros 2  </t>
    </r>
    <r>
      <rPr>
        <b/>
        <sz val="10"/>
        <color rgb="FFFF0000"/>
        <rFont val="Calibri"/>
        <family val="2"/>
        <scheme val="minor"/>
      </rPr>
      <t>(D)</t>
    </r>
  </si>
  <si>
    <t xml:space="preserve">TOTAL DESC. </t>
  </si>
  <si>
    <t>Pessoa1</t>
  </si>
  <si>
    <t>Pessoa2</t>
  </si>
  <si>
    <t>Valor Bruto Pessoa1</t>
  </si>
  <si>
    <t>Valor Bruto Pessoa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</si>
</sst>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#,##0_);\(&quot;R$&quot;#,##0\)"/>
    <numFmt numFmtId="167" formatCode="&quot;R$&quot;#,##0.00_);\(&quot;R$&quot;#,##0.00\)"/>
    <numFmt numFmtId="168" formatCode="_(&quot;R$ &quot;* #,##0.00_);_(&quot;R$ &quot;* \(#,##0.00\);_(&quot;R$ &quot;* &quot;-&quot;??_);_(@_)"/>
    <numFmt numFmtId="169" formatCode="_-[$R$-416]\ * #,##0.00_-;\-[$R$-416]\ * #,##0.00_-;_-[$R$-416]\ * &quot;-&quot;??_-;_-@_-"/>
    <numFmt numFmtId="170" formatCode="0.0%"/>
    <numFmt numFmtId="171" formatCode="d/m;@"/>
    <numFmt numFmtId="172" formatCode="&quot;R$&quot;\ #,##0.00"/>
    <numFmt numFmtId="173" formatCode="_-[$$-409]* #,##0.00_ ;_-[$$-409]* \-#,##0.00\ ;_-[$$-409]* &quot;-&quot;??_ ;_-@_ "/>
    <numFmt numFmtId="174" formatCode="[$R$-416]\ #,##0.00;[Red][$R$-416]\ #,##0.00"/>
  </numFmts>
  <fonts count="11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sz val="11"/>
      <color rgb="FF006100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i/>
      <sz val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2"/>
      <name val="Calibri"/>
      <family val="2"/>
      <scheme val="minor"/>
    </font>
    <font>
      <sz val="7"/>
      <name val="Arial"/>
      <family val="2"/>
    </font>
    <font>
      <b/>
      <sz val="7"/>
      <name val="Arial"/>
      <family val="2"/>
    </font>
    <font>
      <sz val="7"/>
      <color theme="1"/>
      <name val="Calibri"/>
      <family val="2"/>
      <scheme val="minor"/>
    </font>
    <font>
      <b/>
      <sz val="7"/>
      <name val="Calibri"/>
      <family val="2"/>
      <scheme val="minor"/>
    </font>
    <font>
      <sz val="7"/>
      <name val="Calibri"/>
      <family val="2"/>
      <scheme val="minor"/>
    </font>
    <font>
      <b/>
      <sz val="8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sz val="9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u/>
      <sz val="8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8"/>
      <name val="Calibri"/>
      <family val="2"/>
      <scheme val="minor"/>
    </font>
    <font>
      <b/>
      <i/>
      <sz val="8"/>
      <color rgb="FF006600"/>
      <name val="Calibri"/>
      <family val="2"/>
      <scheme val="minor"/>
    </font>
    <font>
      <b/>
      <i/>
      <sz val="8"/>
      <color theme="5" tint="-0.249977111117893"/>
      <name val="Calibri"/>
      <family val="2"/>
      <scheme val="minor"/>
    </font>
    <font>
      <sz val="6"/>
      <name val="Calibri"/>
      <family val="2"/>
      <scheme val="minor"/>
    </font>
    <font>
      <sz val="6"/>
      <color theme="0" tint="-0.499984740745262"/>
      <name val="Calibri"/>
      <family val="2"/>
      <scheme val="minor"/>
    </font>
    <font>
      <b/>
      <sz val="6"/>
      <color theme="0" tint="-0.499984740745262"/>
      <name val="Calibri"/>
      <family val="2"/>
      <scheme val="minor"/>
    </font>
    <font>
      <b/>
      <sz val="6"/>
      <name val="Calibri"/>
      <family val="2"/>
      <scheme val="minor"/>
    </font>
    <font>
      <b/>
      <sz val="8.5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4"/>
      <color rgb="FFFF0000"/>
      <name val="Arial"/>
      <family val="2"/>
    </font>
    <font>
      <sz val="8"/>
      <color indexed="81"/>
      <name val="Calibri"/>
      <family val="2"/>
      <scheme val="minor"/>
    </font>
    <font>
      <sz val="6"/>
      <color indexed="81"/>
      <name val="Calibri"/>
      <family val="2"/>
      <scheme val="minor"/>
    </font>
    <font>
      <b/>
      <sz val="6"/>
      <color indexed="81"/>
      <name val="Calibri"/>
      <family val="2"/>
      <scheme val="minor"/>
    </font>
    <font>
      <b/>
      <sz val="18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8.5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theme="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8"/>
      <color rgb="FFFF0066"/>
      <name val="Calibri"/>
      <family val="2"/>
      <scheme val="minor"/>
    </font>
    <font>
      <b/>
      <sz val="11"/>
      <color rgb="FFFF0000"/>
      <name val="Arial"/>
      <family val="2"/>
    </font>
    <font>
      <sz val="8"/>
      <color rgb="FF000000"/>
      <name val="Calibri"/>
      <family val="2"/>
    </font>
    <font>
      <b/>
      <sz val="8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C6EFCE"/>
        <bgColor rgb="FFC6EFCE"/>
      </patternFill>
    </fill>
    <fill>
      <patternFill patternType="solid">
        <fgColor rgb="FFFFCC99"/>
        <bgColor rgb="FFFFCC99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</fills>
  <borders count="18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 style="medium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dashed">
        <color auto="1"/>
      </top>
      <bottom/>
      <diagonal/>
    </border>
    <border>
      <left style="thin">
        <color theme="0" tint="-0.499984740745262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theme="0" tint="-0.14996795556505021"/>
      </right>
      <top style="dashed">
        <color theme="0" tint="-0.34998626667073579"/>
      </top>
      <bottom style="dashed">
        <color theme="0" tint="-0.34998626667073579"/>
      </bottom>
      <diagonal/>
    </border>
    <border>
      <left style="medium">
        <color auto="1"/>
      </left>
      <right style="thin">
        <color theme="0" tint="-0.14996795556505021"/>
      </right>
      <top/>
      <bottom style="dashed">
        <color theme="0" tint="-0.34998626667073579"/>
      </bottom>
      <diagonal/>
    </border>
    <border>
      <left style="medium">
        <color auto="1"/>
      </left>
      <right style="thin">
        <color theme="0" tint="-0.14996795556505021"/>
      </right>
      <top style="medium">
        <color auto="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14996795556505021"/>
      </right>
      <top style="thick">
        <color auto="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ck">
        <color auto="1"/>
      </right>
      <top/>
      <bottom style="dashed">
        <color theme="0" tint="-0.34998626667073579"/>
      </bottom>
      <diagonal/>
    </border>
    <border>
      <left style="thin">
        <color theme="0" tint="-0.14996795556505021"/>
      </left>
      <right style="thick">
        <color auto="1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theme="0" tint="-0.14996795556505021"/>
      </left>
      <right style="thick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14996795556505021"/>
      </right>
      <top style="dashed">
        <color theme="0" tint="-0.34998626667073579"/>
      </top>
      <bottom style="thick">
        <color auto="1"/>
      </bottom>
      <diagonal/>
    </border>
    <border>
      <left style="thin">
        <color theme="0" tint="-0.14996795556505021"/>
      </left>
      <right style="thick">
        <color auto="1"/>
      </right>
      <top style="dashed">
        <color theme="0" tint="-0.34998626667073579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/>
      <bottom style="dashed">
        <color theme="0" tint="-0.34998626667073579"/>
      </bottom>
      <diagonal/>
    </border>
    <border>
      <left style="thin">
        <color auto="1"/>
      </left>
      <right style="thin">
        <color theme="0" tint="-0.14996795556505021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theme="0" tint="-0.14996795556505021"/>
      </left>
      <right style="thin">
        <color auto="1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/>
      <top/>
      <bottom style="dashed">
        <color theme="0" tint="-0.34998626667073579"/>
      </bottom>
      <diagonal/>
    </border>
    <border>
      <left style="thin">
        <color auto="1"/>
      </left>
      <right/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dashed">
        <color theme="0" tint="-0.34998626667073579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dashed">
        <color auto="1"/>
      </top>
      <bottom/>
      <diagonal/>
    </border>
    <border>
      <left style="medium">
        <color theme="1"/>
      </left>
      <right style="thin">
        <color auto="1"/>
      </right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/>
      <diagonal/>
    </border>
    <border>
      <left style="medium">
        <color theme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/>
      <top style="dashed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theme="0" tint="-0.499984740745262"/>
      </left>
      <right style="medium">
        <color theme="1"/>
      </right>
      <top style="dashed">
        <color auto="1"/>
      </top>
      <bottom style="dashed">
        <color auto="1"/>
      </bottom>
      <diagonal/>
    </border>
    <border>
      <left style="thin">
        <color theme="0" tint="-0.499984740745262"/>
      </left>
      <right style="medium">
        <color theme="1"/>
      </right>
      <top style="dashed">
        <color auto="1"/>
      </top>
      <bottom/>
      <diagonal/>
    </border>
    <border>
      <left style="medium">
        <color theme="1"/>
      </left>
      <right style="thin">
        <color auto="1"/>
      </right>
      <top style="dashed">
        <color auto="1"/>
      </top>
      <bottom style="medium">
        <color theme="1"/>
      </bottom>
      <diagonal/>
    </border>
    <border>
      <left style="thin">
        <color theme="0" tint="-0.499984740745262"/>
      </left>
      <right style="medium">
        <color theme="1"/>
      </right>
      <top style="dashed">
        <color auto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 style="dashed">
        <color auto="1"/>
      </bottom>
      <diagonal/>
    </border>
    <border>
      <left/>
      <right style="medium">
        <color theme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499984740745262"/>
      </left>
      <right style="medium">
        <color theme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dash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ashed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ash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auto="1"/>
      </right>
      <top style="dashed">
        <color theme="0" tint="-0.34998626667073579"/>
      </top>
      <bottom style="thin">
        <color indexed="64"/>
      </bottom>
      <diagonal/>
    </border>
  </borders>
  <cellStyleXfs count="65">
    <xf numFmtId="0" fontId="0" fillId="0" borderId="0"/>
    <xf numFmtId="0" fontId="12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1" applyNumberFormat="0" applyAlignment="0" applyProtection="0"/>
    <xf numFmtId="0" fontId="15" fillId="28" borderId="2" applyNumberFormat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1" fillId="33" borderId="1" applyNumberFormat="0" applyAlignment="0" applyProtection="0"/>
    <xf numFmtId="0" fontId="22" fillId="0" borderId="6" applyNumberFormat="0" applyFill="0" applyAlignment="0" applyProtection="0"/>
    <xf numFmtId="168" fontId="9" fillId="0" borderId="0" applyFont="0" applyFill="0" applyBorder="0" applyAlignment="0" applyProtection="0"/>
    <xf numFmtId="0" fontId="23" fillId="34" borderId="0" applyNumberFormat="0" applyBorder="0" applyAlignment="0" applyProtection="0"/>
    <xf numFmtId="0" fontId="10" fillId="35" borderId="7" applyNumberFormat="0" applyFont="0" applyAlignment="0" applyProtection="0"/>
    <xf numFmtId="0" fontId="24" fillId="27" borderId="8" applyNumberFormat="0" applyAlignment="0" applyProtection="0"/>
    <xf numFmtId="0" fontId="2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27" fillId="36" borderId="0" applyNumberFormat="0" applyBorder="0" applyAlignment="0" applyProtection="0"/>
    <xf numFmtId="0" fontId="28" fillId="37" borderId="0" applyNumberFormat="0" applyBorder="0" applyAlignment="0" applyProtection="0"/>
    <xf numFmtId="0" fontId="29" fillId="38" borderId="1" applyNumberFormat="0" applyAlignment="0" applyProtection="0"/>
    <xf numFmtId="0" fontId="30" fillId="0" borderId="6" applyNumberFormat="0" applyFill="0" applyAlignment="0" applyProtection="0"/>
    <xf numFmtId="0" fontId="31" fillId="39" borderId="2" applyNumberFormat="0" applyAlignment="0" applyProtection="0"/>
    <xf numFmtId="0" fontId="32" fillId="0" borderId="0" applyNumberFormat="0" applyFill="0" applyBorder="0" applyAlignment="0" applyProtection="0"/>
    <xf numFmtId="0" fontId="33" fillId="40" borderId="7" applyNumberFormat="0" applyFont="0" applyAlignment="0" applyProtection="0"/>
    <xf numFmtId="9" fontId="34" fillId="0" borderId="0" applyFon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7" fillId="0" borderId="0"/>
    <xf numFmtId="164" fontId="7" fillId="0" borderId="0" applyFont="0" applyFill="0" applyBorder="0" applyAlignment="0" applyProtection="0"/>
    <xf numFmtId="0" fontId="6" fillId="0" borderId="0"/>
    <xf numFmtId="0" fontId="5" fillId="0" borderId="0"/>
    <xf numFmtId="164" fontId="5" fillId="0" borderId="0" applyFont="0" applyFill="0" applyBorder="0" applyAlignment="0" applyProtection="0"/>
    <xf numFmtId="0" fontId="9" fillId="0" borderId="0"/>
    <xf numFmtId="168" fontId="9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2" fillId="0" borderId="0"/>
  </cellStyleXfs>
  <cellXfs count="635">
    <xf numFmtId="0" fontId="0" fillId="0" borderId="0" xfId="0"/>
    <xf numFmtId="0" fontId="36" fillId="42" borderId="0" xfId="0" applyFont="1" applyFill="1" applyAlignment="1">
      <alignment vertical="center"/>
    </xf>
    <xf numFmtId="0" fontId="36" fillId="42" borderId="0" xfId="0" applyFont="1" applyFill="1" applyAlignment="1">
      <alignment horizontal="center" vertical="center"/>
    </xf>
    <xf numFmtId="9" fontId="36" fillId="42" borderId="0" xfId="52" applyFont="1" applyFill="1" applyAlignment="1">
      <alignment vertical="center"/>
    </xf>
    <xf numFmtId="0" fontId="36" fillId="42" borderId="0" xfId="0" applyFont="1" applyFill="1" applyBorder="1" applyAlignment="1">
      <alignment vertical="center"/>
    </xf>
    <xf numFmtId="0" fontId="40" fillId="0" borderId="0" xfId="0" applyFont="1" applyFill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0" fontId="36" fillId="0" borderId="0" xfId="0" applyFont="1" applyFill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44" fillId="0" borderId="0" xfId="0" applyFont="1" applyFill="1"/>
    <xf numFmtId="0" fontId="44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6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4" fillId="0" borderId="13" xfId="0" applyFont="1" applyBorder="1" applyAlignment="1">
      <alignment horizontal="center" vertical="center"/>
    </xf>
    <xf numFmtId="172" fontId="41" fillId="0" borderId="13" xfId="38" applyNumberFormat="1" applyFont="1" applyFill="1" applyBorder="1" applyAlignment="1">
      <alignment horizontal="center" vertical="center"/>
    </xf>
    <xf numFmtId="9" fontId="44" fillId="0" borderId="13" xfId="52" applyFont="1" applyBorder="1" applyAlignment="1">
      <alignment horizontal="center" vertical="center"/>
    </xf>
    <xf numFmtId="0" fontId="44" fillId="0" borderId="13" xfId="0" applyFont="1" applyBorder="1" applyAlignment="1">
      <alignment vertical="center"/>
    </xf>
    <xf numFmtId="170" fontId="44" fillId="0" borderId="13" xfId="52" applyNumberFormat="1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72" fontId="41" fillId="0" borderId="21" xfId="38" applyNumberFormat="1" applyFont="1" applyFill="1" applyBorder="1" applyAlignment="1">
      <alignment horizontal="center" vertical="center"/>
    </xf>
    <xf numFmtId="0" fontId="44" fillId="0" borderId="21" xfId="0" applyFont="1" applyBorder="1" applyAlignment="1">
      <alignment horizontal="center" vertical="center"/>
    </xf>
    <xf numFmtId="172" fontId="41" fillId="0" borderId="22" xfId="38" applyNumberFormat="1" applyFont="1" applyFill="1" applyBorder="1" applyAlignment="1">
      <alignment horizontal="center" vertical="center"/>
    </xf>
    <xf numFmtId="0" fontId="44" fillId="0" borderId="24" xfId="0" applyFont="1" applyBorder="1" applyAlignment="1">
      <alignment horizontal="center" vertical="center"/>
    </xf>
    <xf numFmtId="172" fontId="41" fillId="0" borderId="25" xfId="38" applyNumberFormat="1" applyFont="1" applyFill="1" applyBorder="1" applyAlignment="1">
      <alignment horizontal="center" vertical="center"/>
    </xf>
    <xf numFmtId="172" fontId="41" fillId="0" borderId="19" xfId="38" applyNumberFormat="1" applyFont="1" applyFill="1" applyBorder="1" applyAlignment="1">
      <alignment horizontal="center" vertical="center"/>
    </xf>
    <xf numFmtId="0" fontId="44" fillId="0" borderId="19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 wrapText="1"/>
    </xf>
    <xf numFmtId="0" fontId="49" fillId="0" borderId="13" xfId="0" applyFont="1" applyBorder="1" applyAlignment="1">
      <alignment horizontal="center" vertical="center" wrapText="1"/>
    </xf>
    <xf numFmtId="172" fontId="41" fillId="0" borderId="20" xfId="38" applyNumberFormat="1" applyFont="1" applyFill="1" applyBorder="1" applyAlignment="1">
      <alignment horizontal="center" vertical="center"/>
    </xf>
    <xf numFmtId="172" fontId="62" fillId="0" borderId="30" xfId="38" applyNumberFormat="1" applyFont="1" applyFill="1" applyBorder="1" applyAlignment="1">
      <alignment horizontal="center" vertical="center"/>
    </xf>
    <xf numFmtId="172" fontId="62" fillId="0" borderId="31" xfId="38" applyNumberFormat="1" applyFont="1" applyFill="1" applyBorder="1" applyAlignment="1">
      <alignment horizontal="center" vertical="center"/>
    </xf>
    <xf numFmtId="172" fontId="41" fillId="0" borderId="38" xfId="38" applyNumberFormat="1" applyFont="1" applyFill="1" applyBorder="1" applyAlignment="1">
      <alignment horizontal="center" vertical="center"/>
    </xf>
    <xf numFmtId="172" fontId="41" fillId="0" borderId="39" xfId="38" applyNumberFormat="1" applyFont="1" applyFill="1" applyBorder="1" applyAlignment="1">
      <alignment horizontal="center" vertical="center"/>
    </xf>
    <xf numFmtId="172" fontId="62" fillId="0" borderId="40" xfId="38" applyNumberFormat="1" applyFont="1" applyFill="1" applyBorder="1" applyAlignment="1">
      <alignment horizontal="center" vertical="center"/>
    </xf>
    <xf numFmtId="168" fontId="44" fillId="0" borderId="0" xfId="38" applyFont="1" applyFill="1" applyBorder="1" applyAlignment="1">
      <alignment vertical="center"/>
    </xf>
    <xf numFmtId="168" fontId="49" fillId="0" borderId="0" xfId="38" applyFont="1" applyFill="1" applyBorder="1" applyAlignment="1">
      <alignment vertical="center"/>
    </xf>
    <xf numFmtId="168" fontId="50" fillId="0" borderId="0" xfId="38" applyFont="1" applyFill="1" applyBorder="1" applyAlignment="1">
      <alignment vertical="center"/>
    </xf>
    <xf numFmtId="49" fontId="49" fillId="0" borderId="0" xfId="38" applyNumberFormat="1" applyFont="1" applyFill="1" applyBorder="1" applyAlignment="1">
      <alignment vertical="center"/>
    </xf>
    <xf numFmtId="168" fontId="44" fillId="0" borderId="0" xfId="38" applyFont="1" applyFill="1" applyAlignment="1">
      <alignment vertical="center"/>
    </xf>
    <xf numFmtId="0" fontId="45" fillId="0" borderId="0" xfId="0" applyFont="1" applyFill="1" applyAlignment="1">
      <alignment vertical="center"/>
    </xf>
    <xf numFmtId="0" fontId="45" fillId="0" borderId="0" xfId="0" applyFont="1" applyFill="1" applyBorder="1" applyAlignment="1">
      <alignment vertical="center"/>
    </xf>
    <xf numFmtId="0" fontId="44" fillId="0" borderId="0" xfId="0" applyFont="1" applyFill="1" applyBorder="1" applyAlignment="1">
      <alignment vertical="center"/>
    </xf>
    <xf numFmtId="0" fontId="47" fillId="0" borderId="0" xfId="0" applyFont="1" applyFill="1" applyBorder="1" applyAlignment="1">
      <alignment vertical="center"/>
    </xf>
    <xf numFmtId="0" fontId="44" fillId="0" borderId="0" xfId="0" applyFont="1" applyFill="1" applyBorder="1"/>
    <xf numFmtId="0" fontId="46" fillId="0" borderId="0" xfId="0" applyFont="1" applyFill="1" applyBorder="1" applyAlignment="1">
      <alignment horizontal="center" vertical="center"/>
    </xf>
    <xf numFmtId="170" fontId="46" fillId="0" borderId="0" xfId="52" applyNumberFormat="1" applyFont="1" applyFill="1" applyBorder="1" applyAlignment="1">
      <alignment horizontal="center" vertical="center"/>
    </xf>
    <xf numFmtId="168" fontId="46" fillId="0" borderId="0" xfId="38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vertical="center"/>
    </xf>
    <xf numFmtId="4" fontId="46" fillId="0" borderId="0" xfId="0" applyNumberFormat="1" applyFont="1" applyFill="1" applyBorder="1" applyAlignment="1">
      <alignment horizontal="center" vertical="center"/>
    </xf>
    <xf numFmtId="9" fontId="46" fillId="0" borderId="0" xfId="52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0" fontId="46" fillId="0" borderId="0" xfId="52" applyNumberFormat="1" applyFont="1" applyFill="1" applyBorder="1" applyAlignment="1">
      <alignment horizontal="center" vertical="center"/>
    </xf>
    <xf numFmtId="166" fontId="44" fillId="0" borderId="0" xfId="38" applyNumberFormat="1" applyFont="1" applyFill="1" applyBorder="1" applyAlignment="1">
      <alignment vertical="center"/>
    </xf>
    <xf numFmtId="165" fontId="44" fillId="0" borderId="0" xfId="0" applyNumberFormat="1" applyFont="1" applyFill="1" applyBorder="1"/>
    <xf numFmtId="166" fontId="49" fillId="0" borderId="0" xfId="38" applyNumberFormat="1" applyFont="1" applyFill="1" applyBorder="1" applyAlignment="1">
      <alignment vertical="center"/>
    </xf>
    <xf numFmtId="9" fontId="49" fillId="0" borderId="0" xfId="52" applyFont="1" applyFill="1" applyBorder="1" applyAlignment="1">
      <alignment horizontal="center" vertical="center"/>
    </xf>
    <xf numFmtId="9" fontId="44" fillId="0" borderId="0" xfId="52" applyFont="1" applyFill="1" applyBorder="1"/>
    <xf numFmtId="9" fontId="50" fillId="0" borderId="0" xfId="52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left" vertical="center"/>
    </xf>
    <xf numFmtId="0" fontId="48" fillId="0" borderId="0" xfId="0" applyFont="1" applyFill="1" applyBorder="1" applyAlignment="1">
      <alignment horizontal="right" vertical="center"/>
    </xf>
    <xf numFmtId="0" fontId="48" fillId="0" borderId="0" xfId="0" applyFont="1" applyFill="1" applyBorder="1" applyAlignment="1">
      <alignment vertical="center"/>
    </xf>
    <xf numFmtId="0" fontId="48" fillId="0" borderId="0" xfId="0" applyFont="1" applyFill="1" applyBorder="1" applyAlignment="1">
      <alignment horizontal="left"/>
    </xf>
    <xf numFmtId="0" fontId="48" fillId="0" borderId="0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vertical="center"/>
    </xf>
    <xf numFmtId="168" fontId="51" fillId="0" borderId="0" xfId="38" applyFont="1" applyFill="1" applyBorder="1" applyAlignment="1">
      <alignment vertical="center"/>
    </xf>
    <xf numFmtId="172" fontId="44" fillId="0" borderId="0" xfId="0" applyNumberFormat="1" applyFont="1" applyAlignment="1">
      <alignment vertical="center"/>
    </xf>
    <xf numFmtId="0" fontId="44" fillId="0" borderId="0" xfId="0" applyFont="1" applyAlignment="1">
      <alignment horizontal="center"/>
    </xf>
    <xf numFmtId="171" fontId="44" fillId="0" borderId="0" xfId="0" applyNumberFormat="1" applyFont="1" applyAlignment="1">
      <alignment horizontal="center" vertical="center"/>
    </xf>
    <xf numFmtId="164" fontId="44" fillId="0" borderId="0" xfId="0" applyNumberFormat="1" applyFont="1" applyAlignment="1">
      <alignment vertical="center"/>
    </xf>
    <xf numFmtId="0" fontId="6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66" fillId="0" borderId="0" xfId="0" applyFont="1" applyAlignment="1">
      <alignment vertical="center"/>
    </xf>
    <xf numFmtId="0" fontId="66" fillId="0" borderId="13" xfId="0" applyFont="1" applyBorder="1" applyAlignment="1">
      <alignment horizontal="left" vertical="center"/>
    </xf>
    <xf numFmtId="0" fontId="67" fillId="0" borderId="13" xfId="0" applyFont="1" applyBorder="1" applyAlignment="1">
      <alignment horizontal="center" vertical="center"/>
    </xf>
    <xf numFmtId="0" fontId="66" fillId="0" borderId="15" xfId="0" applyFont="1" applyBorder="1" applyAlignment="1">
      <alignment vertical="center" wrapText="1"/>
    </xf>
    <xf numFmtId="169" fontId="0" fillId="0" borderId="0" xfId="0" applyNumberFormat="1" applyAlignment="1">
      <alignment horizontal="center" vertical="center"/>
    </xf>
    <xf numFmtId="0" fontId="64" fillId="0" borderId="0" xfId="58" applyFont="1" applyAlignment="1">
      <alignment vertical="center"/>
    </xf>
    <xf numFmtId="0" fontId="66" fillId="0" borderId="18" xfId="0" applyFont="1" applyBorder="1" applyAlignment="1">
      <alignment horizontal="center" vertical="center"/>
    </xf>
    <xf numFmtId="0" fontId="66" fillId="0" borderId="19" xfId="0" applyFont="1" applyBorder="1" applyAlignment="1">
      <alignment horizontal="left" vertical="center" wrapText="1"/>
    </xf>
    <xf numFmtId="0" fontId="66" fillId="0" borderId="35" xfId="0" applyFont="1" applyBorder="1" applyAlignment="1">
      <alignment vertical="center" wrapText="1"/>
    </xf>
    <xf numFmtId="0" fontId="66" fillId="0" borderId="17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0" fontId="66" fillId="0" borderId="36" xfId="0" applyFont="1" applyBorder="1" applyAlignment="1">
      <alignment vertical="center" wrapText="1"/>
    </xf>
    <xf numFmtId="169" fontId="73" fillId="0" borderId="53" xfId="0" applyNumberFormat="1" applyFont="1" applyBorder="1" applyAlignment="1">
      <alignment horizontal="center" vertical="center"/>
    </xf>
    <xf numFmtId="0" fontId="66" fillId="0" borderId="23" xfId="0" applyFont="1" applyBorder="1" applyAlignment="1">
      <alignment horizontal="center" vertical="center"/>
    </xf>
    <xf numFmtId="169" fontId="73" fillId="44" borderId="26" xfId="0" applyNumberFormat="1" applyFont="1" applyFill="1" applyBorder="1" applyAlignment="1">
      <alignment horizontal="center" vertical="center"/>
    </xf>
    <xf numFmtId="9" fontId="73" fillId="44" borderId="27" xfId="52" applyFont="1" applyFill="1" applyBorder="1" applyAlignment="1">
      <alignment horizontal="center" vertical="center"/>
    </xf>
    <xf numFmtId="169" fontId="73" fillId="0" borderId="26" xfId="0" applyNumberFormat="1" applyFont="1" applyBorder="1" applyAlignment="1">
      <alignment horizontal="center" vertical="center"/>
    </xf>
    <xf numFmtId="169" fontId="73" fillId="0" borderId="56" xfId="0" applyNumberFormat="1" applyFont="1" applyBorder="1" applyAlignment="1">
      <alignment horizontal="center" vertical="center"/>
    </xf>
    <xf numFmtId="9" fontId="73" fillId="0" borderId="27" xfId="52" applyFont="1" applyBorder="1" applyAlignment="1">
      <alignment horizontal="center" vertical="center"/>
    </xf>
    <xf numFmtId="169" fontId="73" fillId="0" borderId="26" xfId="0" applyNumberFormat="1" applyFont="1" applyFill="1" applyBorder="1" applyAlignment="1">
      <alignment horizontal="center" vertical="center"/>
    </xf>
    <xf numFmtId="9" fontId="73" fillId="0" borderId="27" xfId="52" applyFont="1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164" fontId="75" fillId="0" borderId="0" xfId="0" applyNumberFormat="1" applyFont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0" fontId="75" fillId="0" borderId="36" xfId="0" applyFont="1" applyBorder="1" applyAlignment="1">
      <alignment vertical="center"/>
    </xf>
    <xf numFmtId="0" fontId="75" fillId="0" borderId="58" xfId="0" applyFont="1" applyBorder="1" applyAlignment="1">
      <alignment vertical="center"/>
    </xf>
    <xf numFmtId="164" fontId="36" fillId="0" borderId="0" xfId="0" applyNumberFormat="1" applyFont="1" applyFill="1" applyAlignment="1">
      <alignment vertical="center"/>
    </xf>
    <xf numFmtId="168" fontId="56" fillId="0" borderId="60" xfId="38" applyFont="1" applyFill="1" applyBorder="1" applyAlignment="1">
      <alignment vertical="center"/>
    </xf>
    <xf numFmtId="169" fontId="56" fillId="0" borderId="60" xfId="0" applyNumberFormat="1" applyFont="1" applyFill="1" applyBorder="1" applyAlignment="1">
      <alignment vertical="center"/>
    </xf>
    <xf numFmtId="168" fontId="56" fillId="0" borderId="61" xfId="38" applyFont="1" applyFill="1" applyBorder="1" applyAlignment="1">
      <alignment vertical="center"/>
    </xf>
    <xf numFmtId="0" fontId="36" fillId="0" borderId="0" xfId="0" applyFont="1" applyFill="1" applyBorder="1" applyAlignment="1">
      <alignment horizontal="center" vertical="center"/>
    </xf>
    <xf numFmtId="0" fontId="54" fillId="0" borderId="0" xfId="0" applyFont="1" applyFill="1" applyAlignment="1">
      <alignment vertical="center"/>
    </xf>
    <xf numFmtId="0" fontId="36" fillId="0" borderId="0" xfId="0" applyFont="1" applyFill="1" applyBorder="1" applyAlignment="1">
      <alignment vertical="center"/>
    </xf>
    <xf numFmtId="9" fontId="36" fillId="0" borderId="0" xfId="52" applyFont="1" applyFill="1" applyAlignment="1">
      <alignment vertical="center"/>
    </xf>
    <xf numFmtId="0" fontId="37" fillId="0" borderId="48" xfId="0" applyFont="1" applyFill="1" applyBorder="1" applyAlignment="1">
      <alignment horizontal="center" vertical="center"/>
    </xf>
    <xf numFmtId="0" fontId="37" fillId="0" borderId="12" xfId="0" applyFont="1" applyFill="1" applyBorder="1" applyAlignment="1">
      <alignment horizontal="center" vertical="center"/>
    </xf>
    <xf numFmtId="169" fontId="79" fillId="47" borderId="62" xfId="0" applyNumberFormat="1" applyFont="1" applyFill="1" applyBorder="1" applyAlignment="1">
      <alignment horizontal="center" vertical="center"/>
    </xf>
    <xf numFmtId="169" fontId="79" fillId="47" borderId="63" xfId="0" applyNumberFormat="1" applyFont="1" applyFill="1" applyBorder="1" applyAlignment="1">
      <alignment horizontal="center" vertical="center"/>
    </xf>
    <xf numFmtId="0" fontId="56" fillId="0" borderId="0" xfId="0" applyFont="1" applyFill="1" applyAlignment="1">
      <alignment vertical="center"/>
    </xf>
    <xf numFmtId="0" fontId="43" fillId="0" borderId="0" xfId="0" applyFont="1" applyFill="1" applyBorder="1" applyAlignment="1">
      <alignment horizontal="center" vertical="center"/>
    </xf>
    <xf numFmtId="164" fontId="36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horizontal="center" vertical="center"/>
    </xf>
    <xf numFmtId="0" fontId="36" fillId="0" borderId="0" xfId="52" applyNumberFormat="1" applyFont="1" applyFill="1" applyAlignment="1">
      <alignment vertical="center"/>
    </xf>
    <xf numFmtId="0" fontId="52" fillId="0" borderId="0" xfId="0" applyFont="1" applyFill="1" applyAlignment="1">
      <alignment vertical="center"/>
    </xf>
    <xf numFmtId="169" fontId="80" fillId="0" borderId="48" xfId="0" applyNumberFormat="1" applyFont="1" applyFill="1" applyBorder="1" applyAlignment="1">
      <alignment horizontal="center" vertical="center"/>
    </xf>
    <xf numFmtId="168" fontId="56" fillId="0" borderId="67" xfId="38" applyFont="1" applyFill="1" applyBorder="1" applyAlignment="1">
      <alignment vertical="center"/>
    </xf>
    <xf numFmtId="168" fontId="56" fillId="0" borderId="68" xfId="38" applyFont="1" applyFill="1" applyBorder="1" applyAlignment="1">
      <alignment vertical="center"/>
    </xf>
    <xf numFmtId="169" fontId="56" fillId="0" borderId="68" xfId="0" applyNumberFormat="1" applyFont="1" applyFill="1" applyBorder="1" applyAlignment="1">
      <alignment vertical="center"/>
    </xf>
    <xf numFmtId="168" fontId="56" fillId="0" borderId="70" xfId="38" applyFont="1" applyFill="1" applyBorder="1" applyAlignment="1">
      <alignment vertical="center"/>
    </xf>
    <xf numFmtId="168" fontId="56" fillId="0" borderId="71" xfId="38" applyFont="1" applyFill="1" applyBorder="1" applyAlignment="1">
      <alignment vertical="center"/>
    </xf>
    <xf numFmtId="0" fontId="81" fillId="48" borderId="10" xfId="0" applyFont="1" applyFill="1" applyBorder="1" applyAlignment="1">
      <alignment horizontal="center" vertical="center"/>
    </xf>
    <xf numFmtId="169" fontId="36" fillId="48" borderId="10" xfId="0" applyNumberFormat="1" applyFont="1" applyFill="1" applyBorder="1" applyAlignment="1">
      <alignment horizontal="center" vertical="center"/>
    </xf>
    <xf numFmtId="169" fontId="36" fillId="48" borderId="11" xfId="0" applyNumberFormat="1" applyFont="1" applyFill="1" applyBorder="1" applyAlignment="1">
      <alignment vertical="center"/>
    </xf>
    <xf numFmtId="164" fontId="36" fillId="48" borderId="10" xfId="0" applyNumberFormat="1" applyFont="1" applyFill="1" applyBorder="1" applyAlignment="1">
      <alignment horizontal="center" vertical="center"/>
    </xf>
    <xf numFmtId="164" fontId="36" fillId="48" borderId="11" xfId="0" applyNumberFormat="1" applyFont="1" applyFill="1" applyBorder="1" applyAlignment="1">
      <alignment vertical="center"/>
    </xf>
    <xf numFmtId="0" fontId="37" fillId="0" borderId="0" xfId="0" applyFont="1" applyFill="1" applyBorder="1" applyAlignment="1">
      <alignment horizontal="center" vertical="center"/>
    </xf>
    <xf numFmtId="169" fontId="80" fillId="0" borderId="0" xfId="0" applyNumberFormat="1" applyFont="1" applyFill="1" applyBorder="1" applyAlignment="1">
      <alignment horizontal="center" vertical="center"/>
    </xf>
    <xf numFmtId="0" fontId="36" fillId="41" borderId="0" xfId="0" applyFont="1" applyFill="1" applyAlignment="1">
      <alignment vertical="center"/>
    </xf>
    <xf numFmtId="0" fontId="36" fillId="41" borderId="0" xfId="0" applyFont="1" applyFill="1" applyAlignment="1">
      <alignment horizontal="center" vertical="center"/>
    </xf>
    <xf numFmtId="0" fontId="54" fillId="41" borderId="0" xfId="0" applyFont="1" applyFill="1" applyAlignment="1">
      <alignment vertical="center"/>
    </xf>
    <xf numFmtId="0" fontId="36" fillId="41" borderId="0" xfId="0" applyFont="1" applyFill="1" applyBorder="1" applyAlignment="1">
      <alignment horizontal="center" vertical="center"/>
    </xf>
    <xf numFmtId="0" fontId="40" fillId="41" borderId="0" xfId="0" applyFont="1" applyFill="1" applyAlignment="1">
      <alignment horizontal="center" vertical="center"/>
    </xf>
    <xf numFmtId="169" fontId="39" fillId="44" borderId="65" xfId="0" applyNumberFormat="1" applyFont="1" applyFill="1" applyBorder="1" applyAlignment="1">
      <alignment horizontal="center" vertical="center"/>
    </xf>
    <xf numFmtId="169" fontId="39" fillId="44" borderId="66" xfId="0" applyNumberFormat="1" applyFont="1" applyFill="1" applyBorder="1" applyAlignment="1">
      <alignment horizontal="center" vertical="center"/>
    </xf>
    <xf numFmtId="0" fontId="52" fillId="41" borderId="0" xfId="0" applyFont="1" applyFill="1" applyAlignment="1">
      <alignment vertical="center"/>
    </xf>
    <xf numFmtId="169" fontId="39" fillId="44" borderId="64" xfId="0" applyNumberFormat="1" applyFont="1" applyFill="1" applyBorder="1" applyAlignment="1">
      <alignment horizontal="center" vertical="center"/>
    </xf>
    <xf numFmtId="169" fontId="39" fillId="44" borderId="69" xfId="0" applyNumberFormat="1" applyFont="1" applyFill="1" applyBorder="1" applyAlignment="1">
      <alignment horizontal="center" vertical="center"/>
    </xf>
    <xf numFmtId="0" fontId="48" fillId="46" borderId="13" xfId="0" applyFont="1" applyFill="1" applyBorder="1" applyAlignment="1">
      <alignment vertical="center"/>
    </xf>
    <xf numFmtId="0" fontId="80" fillId="0" borderId="0" xfId="0" applyFont="1" applyFill="1" applyBorder="1" applyAlignment="1">
      <alignment horizontal="center" vertical="center"/>
    </xf>
    <xf numFmtId="0" fontId="79" fillId="47" borderId="15" xfId="0" applyFont="1" applyFill="1" applyBorder="1" applyAlignment="1">
      <alignment horizontal="center" vertical="center"/>
    </xf>
    <xf numFmtId="169" fontId="79" fillId="47" borderId="72" xfId="0" applyNumberFormat="1" applyFont="1" applyFill="1" applyBorder="1" applyAlignment="1">
      <alignment horizontal="center" vertical="center"/>
    </xf>
    <xf numFmtId="169" fontId="79" fillId="47" borderId="14" xfId="0" applyNumberFormat="1" applyFont="1" applyFill="1" applyBorder="1" applyAlignment="1">
      <alignment horizontal="center" vertical="center"/>
    </xf>
    <xf numFmtId="0" fontId="48" fillId="47" borderId="13" xfId="0" applyFont="1" applyFill="1" applyBorder="1" applyAlignment="1">
      <alignment horizontal="left" vertical="center"/>
    </xf>
    <xf numFmtId="169" fontId="79" fillId="47" borderId="15" xfId="0" applyNumberFormat="1" applyFont="1" applyFill="1" applyBorder="1" applyAlignment="1">
      <alignment horizontal="center" vertical="center"/>
    </xf>
    <xf numFmtId="168" fontId="56" fillId="0" borderId="73" xfId="38" applyFont="1" applyFill="1" applyBorder="1" applyAlignment="1">
      <alignment vertical="center"/>
    </xf>
    <xf numFmtId="169" fontId="56" fillId="0" borderId="74" xfId="0" applyNumberFormat="1" applyFont="1" applyFill="1" applyBorder="1" applyAlignment="1">
      <alignment vertical="center"/>
    </xf>
    <xf numFmtId="169" fontId="56" fillId="0" borderId="75" xfId="0" applyNumberFormat="1" applyFont="1" applyFill="1" applyBorder="1" applyAlignment="1">
      <alignment vertical="center"/>
    </xf>
    <xf numFmtId="169" fontId="39" fillId="44" borderId="76" xfId="0" applyNumberFormat="1" applyFont="1" applyFill="1" applyBorder="1" applyAlignment="1">
      <alignment horizontal="center" vertical="center"/>
    </xf>
    <xf numFmtId="169" fontId="39" fillId="44" borderId="77" xfId="0" applyNumberFormat="1" applyFont="1" applyFill="1" applyBorder="1" applyAlignment="1">
      <alignment horizontal="center" vertical="center"/>
    </xf>
    <xf numFmtId="0" fontId="39" fillId="44" borderId="78" xfId="0" applyFont="1" applyFill="1" applyBorder="1" applyAlignment="1">
      <alignment horizontal="center" vertical="center"/>
    </xf>
    <xf numFmtId="169" fontId="39" fillId="44" borderId="79" xfId="0" applyNumberFormat="1" applyFont="1" applyFill="1" applyBorder="1" applyAlignment="1">
      <alignment horizontal="center" vertical="center"/>
    </xf>
    <xf numFmtId="169" fontId="39" fillId="44" borderId="80" xfId="0" applyNumberFormat="1" applyFont="1" applyFill="1" applyBorder="1" applyAlignment="1">
      <alignment horizontal="center" vertical="center"/>
    </xf>
    <xf numFmtId="0" fontId="57" fillId="0" borderId="81" xfId="0" applyFont="1" applyFill="1" applyBorder="1" applyAlignment="1">
      <alignment horizontal="left" vertical="center"/>
    </xf>
    <xf numFmtId="0" fontId="57" fillId="0" borderId="82" xfId="0" applyFont="1" applyFill="1" applyBorder="1" applyAlignment="1">
      <alignment horizontal="left" vertical="center"/>
    </xf>
    <xf numFmtId="0" fontId="39" fillId="44" borderId="83" xfId="0" applyFont="1" applyFill="1" applyBorder="1" applyAlignment="1">
      <alignment horizontal="center" vertical="center"/>
    </xf>
    <xf numFmtId="0" fontId="56" fillId="0" borderId="85" xfId="0" applyFont="1" applyFill="1" applyBorder="1" applyAlignment="1">
      <alignment vertical="center"/>
    </xf>
    <xf numFmtId="0" fontId="56" fillId="0" borderId="86" xfId="0" applyFont="1" applyFill="1" applyBorder="1" applyAlignment="1">
      <alignment vertical="center"/>
    </xf>
    <xf numFmtId="0" fontId="56" fillId="0" borderId="86" xfId="0" applyFont="1" applyFill="1" applyBorder="1" applyAlignment="1">
      <alignment horizontal="center" vertical="center"/>
    </xf>
    <xf numFmtId="0" fontId="56" fillId="0" borderId="87" xfId="0" applyFont="1" applyFill="1" applyBorder="1" applyAlignment="1">
      <alignment vertical="center"/>
    </xf>
    <xf numFmtId="164" fontId="75" fillId="47" borderId="88" xfId="38" applyNumberFormat="1" applyFont="1" applyFill="1" applyBorder="1" applyAlignment="1">
      <alignment vertical="center"/>
    </xf>
    <xf numFmtId="164" fontId="75" fillId="47" borderId="89" xfId="38" applyNumberFormat="1" applyFont="1" applyFill="1" applyBorder="1" applyAlignment="1">
      <alignment vertical="center"/>
    </xf>
    <xf numFmtId="0" fontId="82" fillId="47" borderId="13" xfId="0" applyFont="1" applyFill="1" applyBorder="1" applyAlignment="1">
      <alignment horizontal="left" vertical="center"/>
    </xf>
    <xf numFmtId="168" fontId="54" fillId="0" borderId="0" xfId="38" applyFont="1" applyFill="1" applyAlignment="1">
      <alignment vertical="center"/>
    </xf>
    <xf numFmtId="164" fontId="75" fillId="45" borderId="59" xfId="0" applyNumberFormat="1" applyFont="1" applyFill="1" applyBorder="1" applyAlignment="1">
      <alignment horizontal="center" vertical="center"/>
    </xf>
    <xf numFmtId="164" fontId="75" fillId="49" borderId="59" xfId="0" applyNumberFormat="1" applyFont="1" applyFill="1" applyBorder="1" applyAlignment="1">
      <alignment horizontal="center" vertical="center"/>
    </xf>
    <xf numFmtId="164" fontId="75" fillId="50" borderId="59" xfId="0" applyNumberFormat="1" applyFont="1" applyFill="1" applyBorder="1" applyAlignment="1">
      <alignment horizontal="center" vertical="center"/>
    </xf>
    <xf numFmtId="0" fontId="66" fillId="0" borderId="94" xfId="0" applyFont="1" applyBorder="1" applyAlignment="1">
      <alignment horizontal="left" vertical="center"/>
    </xf>
    <xf numFmtId="0" fontId="67" fillId="0" borderId="94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168" fontId="56" fillId="0" borderId="0" xfId="0" applyNumberFormat="1" applyFont="1" applyFill="1" applyAlignment="1">
      <alignment vertical="center"/>
    </xf>
    <xf numFmtId="165" fontId="36" fillId="0" borderId="0" xfId="0" applyNumberFormat="1" applyFont="1" applyFill="1" applyAlignment="1">
      <alignment horizontal="center" vertical="center"/>
    </xf>
    <xf numFmtId="0" fontId="66" fillId="0" borderId="94" xfId="0" applyFont="1" applyBorder="1" applyAlignment="1">
      <alignment horizontal="left" vertical="center" wrapText="1"/>
    </xf>
    <xf numFmtId="0" fontId="0" fillId="0" borderId="0" xfId="0" applyNumberFormat="1"/>
    <xf numFmtId="0" fontId="46" fillId="0" borderId="0" xfId="0" applyFont="1" applyFill="1" applyBorder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172" fontId="41" fillId="0" borderId="97" xfId="38" applyNumberFormat="1" applyFont="1" applyFill="1" applyBorder="1" applyAlignment="1">
      <alignment horizontal="center" vertical="center"/>
    </xf>
    <xf numFmtId="0" fontId="75" fillId="0" borderId="35" xfId="0" applyFont="1" applyBorder="1" applyAlignment="1">
      <alignment vertical="center"/>
    </xf>
    <xf numFmtId="172" fontId="41" fillId="0" borderId="18" xfId="38" applyNumberFormat="1" applyFont="1" applyFill="1" applyBorder="1" applyAlignment="1">
      <alignment horizontal="center" vertical="center"/>
    </xf>
    <xf numFmtId="9" fontId="41" fillId="0" borderId="20" xfId="52" applyNumberFormat="1" applyFont="1" applyFill="1" applyBorder="1" applyAlignment="1">
      <alignment horizontal="center" vertical="center"/>
    </xf>
    <xf numFmtId="9" fontId="41" fillId="0" borderId="22" xfId="52" applyNumberFormat="1" applyFont="1" applyFill="1" applyBorder="1" applyAlignment="1">
      <alignment horizontal="center" vertical="center"/>
    </xf>
    <xf numFmtId="172" fontId="62" fillId="0" borderId="29" xfId="38" applyNumberFormat="1" applyFont="1" applyFill="1" applyBorder="1" applyAlignment="1">
      <alignment horizontal="center" vertical="center"/>
    </xf>
    <xf numFmtId="9" fontId="62" fillId="0" borderId="31" xfId="52" applyFont="1" applyFill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172" fontId="41" fillId="0" borderId="17" xfId="53" applyNumberFormat="1" applyFont="1" applyFill="1" applyBorder="1" applyAlignment="1" applyProtection="1">
      <alignment horizontal="center" vertical="center"/>
    </xf>
    <xf numFmtId="172" fontId="41" fillId="51" borderId="21" xfId="38" applyNumberFormat="1" applyFont="1" applyFill="1" applyBorder="1" applyAlignment="1">
      <alignment horizontal="center" vertical="center"/>
    </xf>
    <xf numFmtId="172" fontId="41" fillId="51" borderId="17" xfId="38" applyNumberFormat="1" applyFont="1" applyFill="1" applyBorder="1" applyAlignment="1">
      <alignment horizontal="center" vertical="center"/>
    </xf>
    <xf numFmtId="172" fontId="41" fillId="51" borderId="19" xfId="38" applyNumberFormat="1" applyFont="1" applyFill="1" applyBorder="1" applyAlignment="1">
      <alignment horizontal="center" vertical="center"/>
    </xf>
    <xf numFmtId="172" fontId="4" fillId="0" borderId="55" xfId="38" applyNumberFormat="1" applyFont="1" applyFill="1" applyBorder="1" applyAlignment="1">
      <alignment horizontal="center" vertical="center"/>
    </xf>
    <xf numFmtId="0" fontId="49" fillId="0" borderId="46" xfId="0" applyFont="1" applyFill="1" applyBorder="1" applyAlignment="1">
      <alignment horizontal="center" vertical="center" wrapText="1"/>
    </xf>
    <xf numFmtId="0" fontId="49" fillId="0" borderId="94" xfId="0" applyFont="1" applyFill="1" applyBorder="1" applyAlignment="1">
      <alignment horizontal="center" vertical="center" wrapText="1"/>
    </xf>
    <xf numFmtId="0" fontId="49" fillId="0" borderId="28" xfId="0" applyFont="1" applyFill="1" applyBorder="1" applyAlignment="1">
      <alignment horizontal="center" vertical="center" wrapText="1"/>
    </xf>
    <xf numFmtId="172" fontId="16" fillId="0" borderId="55" xfId="38" applyNumberFormat="1" applyFont="1" applyFill="1" applyBorder="1" applyAlignment="1">
      <alignment horizontal="center" vertical="center"/>
    </xf>
    <xf numFmtId="172" fontId="63" fillId="0" borderId="99" xfId="38" applyNumberFormat="1" applyFont="1" applyFill="1" applyBorder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75" fillId="0" borderId="0" xfId="0" applyFont="1" applyFill="1" applyAlignment="1">
      <alignment vertical="center"/>
    </xf>
    <xf numFmtId="0" fontId="76" fillId="0" borderId="0" xfId="0" applyFont="1" applyAlignment="1">
      <alignment vertical="center"/>
    </xf>
    <xf numFmtId="0" fontId="76" fillId="0" borderId="0" xfId="0" applyFont="1" applyAlignment="1">
      <alignment horizontal="center" vertical="center" wrapText="1"/>
    </xf>
    <xf numFmtId="172" fontId="75" fillId="0" borderId="0" xfId="0" applyNumberFormat="1" applyFont="1" applyAlignment="1">
      <alignment horizontal="center" vertical="center"/>
    </xf>
    <xf numFmtId="0" fontId="75" fillId="0" borderId="0" xfId="0" applyFont="1" applyFill="1"/>
    <xf numFmtId="0" fontId="75" fillId="0" borderId="0" xfId="0" applyNumberFormat="1" applyFont="1" applyFill="1" applyAlignment="1">
      <alignment vertical="center"/>
    </xf>
    <xf numFmtId="0" fontId="75" fillId="0" borderId="0" xfId="0" applyNumberFormat="1" applyFont="1" applyAlignment="1">
      <alignment vertical="center"/>
    </xf>
    <xf numFmtId="0" fontId="76" fillId="0" borderId="0" xfId="0" applyNumberFormat="1" applyFont="1" applyAlignment="1">
      <alignment vertical="center"/>
    </xf>
    <xf numFmtId="0" fontId="76" fillId="0" borderId="0" xfId="0" applyNumberFormat="1" applyFont="1" applyAlignment="1">
      <alignment horizontal="center" vertical="center" wrapText="1"/>
    </xf>
    <xf numFmtId="0" fontId="75" fillId="0" borderId="0" xfId="0" applyNumberFormat="1" applyFont="1" applyAlignment="1">
      <alignment horizontal="center" vertical="center"/>
    </xf>
    <xf numFmtId="0" fontId="75" fillId="0" borderId="45" xfId="38" applyNumberFormat="1" applyFont="1" applyFill="1" applyBorder="1" applyAlignment="1">
      <alignment horizontal="center" vertical="center"/>
    </xf>
    <xf numFmtId="0" fontId="82" fillId="0" borderId="0" xfId="0" applyNumberFormat="1" applyFont="1" applyAlignment="1">
      <alignment horizontal="center" vertical="center"/>
    </xf>
    <xf numFmtId="0" fontId="75" fillId="0" borderId="0" xfId="0" applyNumberFormat="1" applyFont="1" applyFill="1"/>
    <xf numFmtId="0" fontId="76" fillId="42" borderId="14" xfId="0" applyFont="1" applyFill="1" applyBorder="1" applyAlignment="1">
      <alignment horizontal="center" vertical="center"/>
    </xf>
    <xf numFmtId="164" fontId="75" fillId="0" borderId="100" xfId="0" applyNumberFormat="1" applyFont="1" applyBorder="1" applyAlignment="1">
      <alignment horizontal="center" vertical="center"/>
    </xf>
    <xf numFmtId="0" fontId="76" fillId="42" borderId="103" xfId="0" applyFont="1" applyFill="1" applyBorder="1" applyAlignment="1">
      <alignment horizontal="center" vertical="center"/>
    </xf>
    <xf numFmtId="164" fontId="75" fillId="0" borderId="103" xfId="0" applyNumberFormat="1" applyFont="1" applyFill="1" applyBorder="1" applyAlignment="1">
      <alignment horizontal="center" vertical="center"/>
    </xf>
    <xf numFmtId="164" fontId="75" fillId="0" borderId="106" xfId="0" applyNumberFormat="1" applyFont="1" applyFill="1" applyBorder="1" applyAlignment="1">
      <alignment horizontal="center" vertical="center"/>
    </xf>
    <xf numFmtId="0" fontId="91" fillId="0" borderId="108" xfId="0" applyFont="1" applyBorder="1" applyAlignment="1">
      <alignment vertical="center"/>
    </xf>
    <xf numFmtId="0" fontId="76" fillId="42" borderId="115" xfId="0" applyFont="1" applyFill="1" applyBorder="1" applyAlignment="1">
      <alignment horizontal="center" vertical="center"/>
    </xf>
    <xf numFmtId="164" fontId="75" fillId="0" borderId="116" xfId="0" applyNumberFormat="1" applyFont="1" applyFill="1" applyBorder="1" applyAlignment="1">
      <alignment horizontal="center" vertical="center"/>
    </xf>
    <xf numFmtId="164" fontId="75" fillId="0" borderId="117" xfId="0" applyNumberFormat="1" applyFont="1" applyFill="1" applyBorder="1" applyAlignment="1">
      <alignment horizontal="center" vertical="center"/>
    </xf>
    <xf numFmtId="164" fontId="75" fillId="0" borderId="104" xfId="0" applyNumberFormat="1" applyFont="1" applyFill="1" applyBorder="1" applyAlignment="1">
      <alignment horizontal="center" vertical="center"/>
    </xf>
    <xf numFmtId="164" fontId="75" fillId="0" borderId="118" xfId="0" applyNumberFormat="1" applyFont="1" applyFill="1" applyBorder="1" applyAlignment="1">
      <alignment horizontal="center" vertical="center"/>
    </xf>
    <xf numFmtId="164" fontId="78" fillId="0" borderId="119" xfId="0" applyNumberFormat="1" applyFont="1" applyFill="1" applyBorder="1" applyAlignment="1">
      <alignment horizontal="center" vertical="center"/>
    </xf>
    <xf numFmtId="164" fontId="78" fillId="0" borderId="120" xfId="0" applyNumberFormat="1" applyFont="1" applyFill="1" applyBorder="1" applyAlignment="1">
      <alignment horizontal="center" vertical="center"/>
    </xf>
    <xf numFmtId="164" fontId="78" fillId="0" borderId="109" xfId="0" applyNumberFormat="1" applyFont="1" applyBorder="1" applyAlignment="1">
      <alignment horizontal="center" vertical="center"/>
    </xf>
    <xf numFmtId="164" fontId="78" fillId="0" borderId="110" xfId="0" applyNumberFormat="1" applyFont="1" applyFill="1" applyBorder="1" applyAlignment="1">
      <alignment horizontal="center" vertical="center"/>
    </xf>
    <xf numFmtId="171" fontId="75" fillId="0" borderId="112" xfId="0" applyNumberFormat="1" applyFont="1" applyBorder="1" applyAlignment="1">
      <alignment horizontal="center" vertical="center" textRotation="90" wrapText="1"/>
    </xf>
    <xf numFmtId="0" fontId="91" fillId="0" borderId="112" xfId="0" applyFont="1" applyBorder="1" applyAlignment="1">
      <alignment vertical="center"/>
    </xf>
    <xf numFmtId="164" fontId="78" fillId="0" borderId="112" xfId="0" applyNumberFormat="1" applyFont="1" applyFill="1" applyBorder="1" applyAlignment="1">
      <alignment horizontal="center" vertical="center"/>
    </xf>
    <xf numFmtId="164" fontId="78" fillId="0" borderId="112" xfId="0" applyNumberFormat="1" applyFont="1" applyBorder="1" applyAlignment="1">
      <alignment horizontal="center" vertical="center"/>
    </xf>
    <xf numFmtId="164" fontId="75" fillId="42" borderId="122" xfId="53" applyNumberFormat="1" applyFont="1" applyFill="1" applyBorder="1" applyAlignment="1" applyProtection="1">
      <alignment horizontal="center" vertical="center"/>
    </xf>
    <xf numFmtId="164" fontId="75" fillId="42" borderId="123" xfId="53" applyNumberFormat="1" applyFont="1" applyFill="1" applyBorder="1" applyAlignment="1" applyProtection="1">
      <alignment horizontal="center" vertical="center"/>
    </xf>
    <xf numFmtId="164" fontId="75" fillId="42" borderId="124" xfId="53" applyNumberFormat="1" applyFont="1" applyFill="1" applyBorder="1" applyAlignment="1" applyProtection="1">
      <alignment horizontal="center" vertical="center"/>
    </xf>
    <xf numFmtId="164" fontId="44" fillId="0" borderId="0" xfId="0" applyNumberFormat="1" applyFont="1" applyAlignment="1">
      <alignment horizontal="center" vertical="center"/>
    </xf>
    <xf numFmtId="169" fontId="72" fillId="43" borderId="57" xfId="0" applyNumberFormat="1" applyFont="1" applyFill="1" applyBorder="1" applyAlignment="1">
      <alignment horizontal="center" vertical="center"/>
    </xf>
    <xf numFmtId="170" fontId="73" fillId="44" borderId="27" xfId="52" applyNumberFormat="1" applyFont="1" applyFill="1" applyBorder="1" applyAlignment="1">
      <alignment horizontal="center" vertical="center"/>
    </xf>
    <xf numFmtId="169" fontId="72" fillId="43" borderId="52" xfId="0" applyNumberFormat="1" applyFont="1" applyFill="1" applyBorder="1" applyAlignment="1">
      <alignment vertical="center"/>
    </xf>
    <xf numFmtId="169" fontId="71" fillId="43" borderId="50" xfId="0" applyNumberFormat="1" applyFont="1" applyFill="1" applyBorder="1" applyAlignment="1">
      <alignment vertical="center"/>
    </xf>
    <xf numFmtId="169" fontId="71" fillId="43" borderId="37" xfId="0" applyNumberFormat="1" applyFont="1" applyFill="1" applyBorder="1" applyAlignment="1">
      <alignment vertical="center"/>
    </xf>
    <xf numFmtId="0" fontId="71" fillId="43" borderId="128" xfId="0" applyFont="1" applyFill="1" applyBorder="1" applyAlignment="1">
      <alignment vertical="center" wrapText="1"/>
    </xf>
    <xf numFmtId="0" fontId="71" fillId="43" borderId="128" xfId="0" applyFont="1" applyFill="1" applyBorder="1" applyAlignment="1">
      <alignment vertical="center"/>
    </xf>
    <xf numFmtId="0" fontId="71" fillId="43" borderId="92" xfId="0" applyFont="1" applyFill="1" applyBorder="1" applyAlignment="1">
      <alignment vertical="center"/>
    </xf>
    <xf numFmtId="0" fontId="71" fillId="43" borderId="129" xfId="0" applyFont="1" applyFill="1" applyBorder="1" applyAlignment="1">
      <alignment vertical="center"/>
    </xf>
    <xf numFmtId="0" fontId="71" fillId="43" borderId="34" xfId="0" applyFont="1" applyFill="1" applyBorder="1" applyAlignment="1">
      <alignment vertical="center"/>
    </xf>
    <xf numFmtId="0" fontId="71" fillId="43" borderId="52" xfId="0" applyFont="1" applyFill="1" applyBorder="1" applyAlignment="1">
      <alignment vertical="center"/>
    </xf>
    <xf numFmtId="0" fontId="71" fillId="43" borderId="50" xfId="0" applyNumberFormat="1" applyFont="1" applyFill="1" applyBorder="1" applyAlignment="1">
      <alignment horizontal="center" vertical="center"/>
    </xf>
    <xf numFmtId="0" fontId="0" fillId="0" borderId="0" xfId="0" pivotButton="1"/>
    <xf numFmtId="169" fontId="9" fillId="0" borderId="51" xfId="0" applyNumberFormat="1" applyFont="1" applyBorder="1" applyAlignment="1">
      <alignment vertical="center"/>
    </xf>
    <xf numFmtId="9" fontId="72" fillId="43" borderId="57" xfId="52" applyFont="1" applyFill="1" applyBorder="1" applyAlignment="1">
      <alignment horizontal="center" vertical="center"/>
    </xf>
    <xf numFmtId="169" fontId="73" fillId="0" borderId="0" xfId="0" applyNumberFormat="1" applyFont="1" applyFill="1" applyBorder="1" applyAlignment="1">
      <alignment horizontal="center" vertical="center"/>
    </xf>
    <xf numFmtId="9" fontId="73" fillId="0" borderId="0" xfId="52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/>
    </xf>
    <xf numFmtId="0" fontId="67" fillId="0" borderId="0" xfId="0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64" fillId="0" borderId="0" xfId="58" applyFont="1" applyFill="1" applyBorder="1" applyAlignment="1">
      <alignment vertical="center"/>
    </xf>
    <xf numFmtId="0" fontId="0" fillId="0" borderId="0" xfId="0" applyAlignment="1">
      <alignment horizontal="left"/>
    </xf>
    <xf numFmtId="0" fontId="49" fillId="0" borderId="125" xfId="0" applyFont="1" applyBorder="1" applyAlignment="1">
      <alignment vertical="center" wrapText="1"/>
    </xf>
    <xf numFmtId="167" fontId="59" fillId="0" borderId="0" xfId="59" applyNumberFormat="1" applyFont="1" applyFill="1" applyBorder="1" applyAlignment="1">
      <alignment vertical="center"/>
    </xf>
    <xf numFmtId="16" fontId="49" fillId="43" borderId="46" xfId="60" applyNumberFormat="1" applyFont="1" applyFill="1" applyBorder="1" applyAlignment="1" applyProtection="1">
      <alignment horizontal="center" vertical="center"/>
    </xf>
    <xf numFmtId="16" fontId="49" fillId="43" borderId="94" xfId="60" applyNumberFormat="1" applyFont="1" applyFill="1" applyBorder="1" applyAlignment="1" applyProtection="1">
      <alignment vertical="center"/>
    </xf>
    <xf numFmtId="16" fontId="49" fillId="43" borderId="94" xfId="60" applyNumberFormat="1" applyFont="1" applyFill="1" applyBorder="1" applyAlignment="1" applyProtection="1">
      <alignment horizontal="center" vertical="center"/>
    </xf>
    <xf numFmtId="168" fontId="49" fillId="43" borderId="94" xfId="61" applyFont="1" applyFill="1" applyBorder="1" applyAlignment="1" applyProtection="1">
      <alignment vertical="center"/>
    </xf>
    <xf numFmtId="0" fontId="49" fillId="0" borderId="15" xfId="0" applyFont="1" applyBorder="1" applyAlignment="1">
      <alignment horizontal="left" vertical="center"/>
    </xf>
    <xf numFmtId="0" fontId="49" fillId="0" borderId="14" xfId="0" applyFont="1" applyBorder="1" applyAlignment="1">
      <alignment horizontal="left" vertical="center"/>
    </xf>
    <xf numFmtId="172" fontId="41" fillId="0" borderId="15" xfId="38" applyNumberFormat="1" applyFont="1" applyFill="1" applyBorder="1" applyAlignment="1">
      <alignment horizontal="center" vertical="center"/>
    </xf>
    <xf numFmtId="172" fontId="41" fillId="0" borderId="14" xfId="38" applyNumberFormat="1" applyFont="1" applyFill="1" applyBorder="1" applyAlignment="1">
      <alignment horizontal="center" vertical="center"/>
    </xf>
    <xf numFmtId="9" fontId="73" fillId="0" borderId="95" xfId="52" applyFont="1" applyFill="1" applyBorder="1" applyAlignment="1">
      <alignment horizontal="center" vertical="center"/>
    </xf>
    <xf numFmtId="0" fontId="93" fillId="0" borderId="0" xfId="0" applyFont="1" applyFill="1" applyBorder="1" applyAlignment="1">
      <alignment vertical="center" textRotation="90"/>
    </xf>
    <xf numFmtId="170" fontId="73" fillId="0" borderId="0" xfId="52" applyNumberFormat="1" applyFont="1" applyFill="1" applyBorder="1" applyAlignment="1">
      <alignment horizontal="center" vertical="center"/>
    </xf>
    <xf numFmtId="0" fontId="66" fillId="0" borderId="130" xfId="0" applyFont="1" applyBorder="1" applyAlignment="1">
      <alignment horizontal="center" vertical="center"/>
    </xf>
    <xf numFmtId="0" fontId="67" fillId="0" borderId="90" xfId="0" applyFont="1" applyBorder="1" applyAlignment="1">
      <alignment horizontal="center" vertical="center"/>
    </xf>
    <xf numFmtId="0" fontId="66" fillId="0" borderId="131" xfId="0" applyFont="1" applyBorder="1" applyAlignment="1">
      <alignment vertical="center" wrapText="1"/>
    </xf>
    <xf numFmtId="170" fontId="73" fillId="44" borderId="95" xfId="52" applyNumberFormat="1" applyFont="1" applyFill="1" applyBorder="1" applyAlignment="1">
      <alignment horizontal="center" vertical="center"/>
    </xf>
    <xf numFmtId="9" fontId="73" fillId="0" borderId="95" xfId="52" applyFont="1" applyBorder="1" applyAlignment="1">
      <alignment horizontal="center" vertical="center"/>
    </xf>
    <xf numFmtId="169" fontId="73" fillId="44" borderId="45" xfId="0" applyNumberFormat="1" applyFont="1" applyFill="1" applyBorder="1" applyAlignment="1">
      <alignment horizontal="center" vertical="center"/>
    </xf>
    <xf numFmtId="9" fontId="73" fillId="44" borderId="95" xfId="52" applyFont="1" applyFill="1" applyBorder="1" applyAlignment="1">
      <alignment horizontal="center" vertical="center"/>
    </xf>
    <xf numFmtId="169" fontId="73" fillId="0" borderId="45" xfId="0" applyNumberFormat="1" applyFont="1" applyBorder="1" applyAlignment="1">
      <alignment horizontal="center" vertical="center"/>
    </xf>
    <xf numFmtId="169" fontId="73" fillId="0" borderId="45" xfId="0" applyNumberFormat="1" applyFont="1" applyFill="1" applyBorder="1" applyAlignment="1">
      <alignment horizontal="center" vertical="center"/>
    </xf>
    <xf numFmtId="0" fontId="66" fillId="0" borderId="132" xfId="0" applyFont="1" applyBorder="1" applyAlignment="1">
      <alignment horizontal="center" vertical="center"/>
    </xf>
    <xf numFmtId="0" fontId="66" fillId="0" borderId="44" xfId="0" applyFont="1" applyBorder="1" applyAlignment="1">
      <alignment horizontal="left" vertical="center"/>
    </xf>
    <xf numFmtId="0" fontId="67" fillId="0" borderId="44" xfId="0" applyFont="1" applyBorder="1" applyAlignment="1">
      <alignment horizontal="center" vertical="center"/>
    </xf>
    <xf numFmtId="0" fontId="66" fillId="0" borderId="32" xfId="0" applyFont="1" applyBorder="1" applyAlignment="1">
      <alignment vertical="center" wrapText="1"/>
    </xf>
    <xf numFmtId="169" fontId="73" fillId="44" borderId="133" xfId="0" applyNumberFormat="1" applyFont="1" applyFill="1" applyBorder="1" applyAlignment="1">
      <alignment horizontal="center" vertical="center"/>
    </xf>
    <xf numFmtId="170" fontId="73" fillId="44" borderId="134" xfId="52" applyNumberFormat="1" applyFont="1" applyFill="1" applyBorder="1" applyAlignment="1">
      <alignment horizontal="center" vertical="center"/>
    </xf>
    <xf numFmtId="169" fontId="73" fillId="0" borderId="135" xfId="0" applyNumberFormat="1" applyFont="1" applyBorder="1" applyAlignment="1">
      <alignment horizontal="center" vertical="center"/>
    </xf>
    <xf numFmtId="9" fontId="73" fillId="0" borderId="134" xfId="52" applyFont="1" applyBorder="1" applyAlignment="1">
      <alignment horizontal="center" vertical="center"/>
    </xf>
    <xf numFmtId="9" fontId="73" fillId="44" borderId="134" xfId="52" applyFont="1" applyFill="1" applyBorder="1" applyAlignment="1">
      <alignment horizontal="center" vertical="center"/>
    </xf>
    <xf numFmtId="169" fontId="73" fillId="0" borderId="133" xfId="0" applyNumberFormat="1" applyFont="1" applyBorder="1" applyAlignment="1">
      <alignment horizontal="center" vertical="center"/>
    </xf>
    <xf numFmtId="169" fontId="73" fillId="0" borderId="133" xfId="0" applyNumberFormat="1" applyFont="1" applyFill="1" applyBorder="1" applyAlignment="1">
      <alignment horizontal="center" vertical="center"/>
    </xf>
    <xf numFmtId="9" fontId="73" fillId="0" borderId="134" xfId="52" applyFont="1" applyFill="1" applyBorder="1" applyAlignment="1">
      <alignment horizontal="center" vertical="center"/>
    </xf>
    <xf numFmtId="9" fontId="73" fillId="44" borderId="134" xfId="52" applyNumberFormat="1" applyFont="1" applyFill="1" applyBorder="1" applyAlignment="1">
      <alignment horizontal="center" vertical="center"/>
    </xf>
    <xf numFmtId="0" fontId="67" fillId="0" borderId="42" xfId="0" applyFont="1" applyBorder="1" applyAlignment="1">
      <alignment horizontal="center" vertical="center"/>
    </xf>
    <xf numFmtId="0" fontId="66" fillId="0" borderId="47" xfId="0" applyFont="1" applyBorder="1" applyAlignment="1">
      <alignment vertical="center" wrapText="1"/>
    </xf>
    <xf numFmtId="170" fontId="73" fillId="44" borderId="41" xfId="52" applyNumberFormat="1" applyFont="1" applyFill="1" applyBorder="1" applyAlignment="1">
      <alignment horizontal="center" vertical="center"/>
    </xf>
    <xf numFmtId="9" fontId="73" fillId="0" borderId="41" xfId="52" applyFont="1" applyBorder="1" applyAlignment="1">
      <alignment horizontal="center" vertical="center"/>
    </xf>
    <xf numFmtId="169" fontId="73" fillId="44" borderId="96" xfId="0" applyNumberFormat="1" applyFont="1" applyFill="1" applyBorder="1" applyAlignment="1">
      <alignment horizontal="center" vertical="center"/>
    </xf>
    <xf numFmtId="9" fontId="73" fillId="44" borderId="41" xfId="52" applyFont="1" applyFill="1" applyBorder="1" applyAlignment="1">
      <alignment horizontal="center" vertical="center"/>
    </xf>
    <xf numFmtId="169" fontId="73" fillId="0" borderId="96" xfId="0" applyNumberFormat="1" applyFont="1" applyBorder="1" applyAlignment="1">
      <alignment horizontal="center" vertical="center"/>
    </xf>
    <xf numFmtId="169" fontId="73" fillId="0" borderId="96" xfId="0" applyNumberFormat="1" applyFont="1" applyFill="1" applyBorder="1" applyAlignment="1">
      <alignment horizontal="center" vertical="center"/>
    </xf>
    <xf numFmtId="9" fontId="73" fillId="0" borderId="41" xfId="52" applyFont="1" applyFill="1" applyBorder="1" applyAlignment="1">
      <alignment horizontal="center" vertical="center"/>
    </xf>
    <xf numFmtId="0" fontId="94" fillId="0" borderId="136" xfId="0" applyFont="1" applyBorder="1" applyAlignment="1">
      <alignment horizontal="left" vertical="center"/>
    </xf>
    <xf numFmtId="0" fontId="0" fillId="0" borderId="136" xfId="0" applyBorder="1" applyAlignment="1">
      <alignment horizontal="center" vertical="center"/>
    </xf>
    <xf numFmtId="0" fontId="0" fillId="0" borderId="136" xfId="0" applyBorder="1"/>
    <xf numFmtId="169" fontId="0" fillId="0" borderId="136" xfId="0" applyNumberFormat="1" applyBorder="1" applyAlignment="1">
      <alignment horizontal="center" vertical="center"/>
    </xf>
    <xf numFmtId="0" fontId="36" fillId="0" borderId="136" xfId="0" applyFont="1" applyFill="1" applyBorder="1" applyAlignment="1">
      <alignment vertical="center"/>
    </xf>
    <xf numFmtId="0" fontId="36" fillId="0" borderId="136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169" fontId="75" fillId="0" borderId="0" xfId="0" applyNumberFormat="1" applyFont="1" applyFill="1" applyBorder="1" applyAlignment="1">
      <alignment horizontal="center" vertical="center"/>
    </xf>
    <xf numFmtId="164" fontId="75" fillId="0" borderId="0" xfId="0" applyNumberFormat="1" applyFont="1" applyFill="1" applyBorder="1" applyAlignment="1">
      <alignment horizontal="center" vertical="center"/>
    </xf>
    <xf numFmtId="169" fontId="75" fillId="0" borderId="0" xfId="38" applyNumberFormat="1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/>
    </xf>
    <xf numFmtId="0" fontId="76" fillId="0" borderId="0" xfId="0" applyFont="1" applyFill="1" applyBorder="1" applyAlignment="1">
      <alignment horizontal="center" vertical="center"/>
    </xf>
    <xf numFmtId="164" fontId="77" fillId="0" borderId="0" xfId="53" applyNumberFormat="1" applyFont="1" applyFill="1" applyBorder="1" applyAlignment="1" applyProtection="1">
      <alignment horizontal="center" vertical="center"/>
    </xf>
    <xf numFmtId="172" fontId="48" fillId="0" borderId="10" xfId="0" applyNumberFormat="1" applyFont="1" applyBorder="1" applyAlignment="1">
      <alignment horizontal="center" vertical="center"/>
    </xf>
    <xf numFmtId="14" fontId="44" fillId="0" borderId="0" xfId="0" applyNumberFormat="1" applyFont="1" applyAlignment="1">
      <alignment vertical="center"/>
    </xf>
    <xf numFmtId="14" fontId="75" fillId="0" borderId="0" xfId="0" applyNumberFormat="1" applyFont="1" applyAlignment="1">
      <alignment horizontal="center" vertical="center"/>
    </xf>
    <xf numFmtId="172" fontId="41" fillId="51" borderId="38" xfId="38" applyNumberFormat="1" applyFont="1" applyFill="1" applyBorder="1" applyAlignment="1">
      <alignment horizontal="center" vertical="center"/>
    </xf>
    <xf numFmtId="169" fontId="49" fillId="43" borderId="94" xfId="60" applyNumberFormat="1" applyFont="1" applyFill="1" applyBorder="1" applyAlignment="1" applyProtection="1">
      <alignment vertical="center"/>
    </xf>
    <xf numFmtId="0" fontId="92" fillId="0" borderId="140" xfId="0" applyFont="1" applyFill="1" applyBorder="1" applyAlignment="1">
      <alignment horizontal="center" vertical="center" wrapText="1"/>
    </xf>
    <xf numFmtId="0" fontId="92" fillId="0" borderId="125" xfId="0" applyFont="1" applyFill="1" applyBorder="1" applyAlignment="1">
      <alignment horizontal="center" vertical="center" wrapText="1"/>
    </xf>
    <xf numFmtId="0" fontId="49" fillId="0" borderId="126" xfId="0" applyFont="1" applyBorder="1" applyAlignment="1">
      <alignment horizontal="center" vertical="center" wrapText="1"/>
    </xf>
    <xf numFmtId="0" fontId="99" fillId="44" borderId="94" xfId="0" applyFont="1" applyFill="1" applyBorder="1" applyAlignment="1">
      <alignment horizontal="center" vertical="center"/>
    </xf>
    <xf numFmtId="9" fontId="56" fillId="0" borderId="94" xfId="52" applyFont="1" applyFill="1" applyBorder="1" applyAlignment="1">
      <alignment horizontal="center" vertical="center"/>
    </xf>
    <xf numFmtId="0" fontId="82" fillId="47" borderId="94" xfId="0" applyFont="1" applyFill="1" applyBorder="1" applyAlignment="1">
      <alignment horizontal="left" vertical="center"/>
    </xf>
    <xf numFmtId="9" fontId="56" fillId="0" borderId="94" xfId="52" applyNumberFormat="1" applyFont="1" applyFill="1" applyBorder="1" applyAlignment="1">
      <alignment horizontal="center" vertical="center"/>
    </xf>
    <xf numFmtId="0" fontId="56" fillId="41" borderId="0" xfId="0" applyFont="1" applyFill="1" applyAlignment="1">
      <alignment vertical="center"/>
    </xf>
    <xf numFmtId="164" fontId="36" fillId="0" borderId="136" xfId="0" applyNumberFormat="1" applyFont="1" applyFill="1" applyBorder="1" applyAlignment="1">
      <alignment vertical="center"/>
    </xf>
    <xf numFmtId="0" fontId="101" fillId="41" borderId="0" xfId="0" applyFont="1" applyFill="1" applyAlignment="1">
      <alignment vertical="center"/>
    </xf>
    <xf numFmtId="0" fontId="101" fillId="0" borderId="0" xfId="0" applyFont="1" applyFill="1" applyAlignment="1">
      <alignment vertical="center"/>
    </xf>
    <xf numFmtId="0" fontId="102" fillId="0" borderId="0" xfId="0" applyFont="1" applyFill="1" applyBorder="1" applyAlignment="1">
      <alignment horizontal="center" vertical="center"/>
    </xf>
    <xf numFmtId="0" fontId="102" fillId="0" borderId="12" xfId="0" applyFont="1" applyFill="1" applyBorder="1" applyAlignment="1">
      <alignment horizontal="center" vertical="center"/>
    </xf>
    <xf numFmtId="0" fontId="0" fillId="0" borderId="0" xfId="0"/>
    <xf numFmtId="0" fontId="44" fillId="43" borderId="0" xfId="0" applyFont="1" applyFill="1" applyAlignment="1">
      <alignment vertical="center"/>
    </xf>
    <xf numFmtId="0" fontId="85" fillId="43" borderId="0" xfId="0" applyFont="1" applyFill="1" applyAlignment="1">
      <alignment horizontal="center" vertical="center"/>
    </xf>
    <xf numFmtId="0" fontId="85" fillId="43" borderId="0" xfId="0" applyFont="1" applyFill="1" applyAlignment="1">
      <alignment vertical="center"/>
    </xf>
    <xf numFmtId="0" fontId="86" fillId="43" borderId="0" xfId="0" applyFont="1" applyFill="1" applyBorder="1" applyAlignment="1">
      <alignment horizontal="center" vertical="center"/>
    </xf>
    <xf numFmtId="0" fontId="86" fillId="43" borderId="0" xfId="0" applyFont="1" applyFill="1" applyBorder="1" applyAlignment="1">
      <alignment vertical="center"/>
    </xf>
    <xf numFmtId="0" fontId="87" fillId="43" borderId="0" xfId="0" applyFont="1" applyFill="1" applyBorder="1" applyAlignment="1">
      <alignment vertical="center"/>
    </xf>
    <xf numFmtId="0" fontId="87" fillId="43" borderId="0" xfId="0" applyFont="1" applyFill="1" applyBorder="1" applyAlignment="1">
      <alignment horizontal="center" vertical="center"/>
    </xf>
    <xf numFmtId="169" fontId="44" fillId="43" borderId="0" xfId="0" applyNumberFormat="1" applyFont="1" applyFill="1" applyAlignment="1">
      <alignment vertical="center"/>
    </xf>
    <xf numFmtId="0" fontId="88" fillId="43" borderId="0" xfId="0" applyFont="1" applyFill="1" applyBorder="1" applyAlignment="1">
      <alignment horizontal="center" vertical="center"/>
    </xf>
    <xf numFmtId="0" fontId="88" fillId="43" borderId="0" xfId="0" applyFont="1" applyFill="1" applyBorder="1" applyAlignment="1">
      <alignment horizontal="center"/>
    </xf>
    <xf numFmtId="0" fontId="57" fillId="0" borderId="84" xfId="0" applyFont="1" applyFill="1" applyBorder="1" applyAlignment="1">
      <alignment horizontal="left" vertical="center"/>
    </xf>
    <xf numFmtId="0" fontId="86" fillId="43" borderId="0" xfId="0" applyFont="1" applyFill="1" applyBorder="1" applyAlignment="1">
      <alignment horizontal="center" vertical="center"/>
    </xf>
    <xf numFmtId="169" fontId="86" fillId="43" borderId="0" xfId="0" applyNumberFormat="1" applyFont="1" applyFill="1" applyBorder="1" applyAlignment="1">
      <alignment horizontal="center" vertical="center"/>
    </xf>
    <xf numFmtId="164" fontId="75" fillId="0" borderId="14" xfId="0" applyNumberFormat="1" applyFont="1" applyFill="1" applyBorder="1" applyAlignment="1">
      <alignment horizontal="center" vertical="center"/>
    </xf>
    <xf numFmtId="0" fontId="75" fillId="0" borderId="10" xfId="0" applyFont="1" applyBorder="1" applyAlignment="1">
      <alignment vertical="center"/>
    </xf>
    <xf numFmtId="164" fontId="75" fillId="0" borderId="154" xfId="0" applyNumberFormat="1" applyFont="1" applyFill="1" applyBorder="1" applyAlignment="1">
      <alignment horizontal="center" vertical="center"/>
    </xf>
    <xf numFmtId="164" fontId="75" fillId="0" borderId="155" xfId="0" applyNumberFormat="1" applyFont="1" applyFill="1" applyBorder="1" applyAlignment="1">
      <alignment horizontal="center" vertical="center"/>
    </xf>
    <xf numFmtId="164" fontId="75" fillId="0" borderId="40" xfId="0" applyNumberFormat="1" applyFont="1" applyFill="1" applyBorder="1" applyAlignment="1">
      <alignment horizontal="center" vertical="center"/>
    </xf>
    <xf numFmtId="164" fontId="75" fillId="0" borderId="31" xfId="0" applyNumberFormat="1" applyFont="1" applyFill="1" applyBorder="1" applyAlignment="1">
      <alignment horizontal="center" vertical="center"/>
    </xf>
    <xf numFmtId="164" fontId="44" fillId="0" borderId="0" xfId="0" applyNumberFormat="1" applyFont="1" applyAlignment="1">
      <alignment horizontal="center" vertical="center"/>
    </xf>
    <xf numFmtId="169" fontId="86" fillId="43" borderId="0" xfId="0" applyNumberFormat="1" applyFont="1" applyFill="1" applyBorder="1" applyAlignment="1">
      <alignment vertical="center"/>
    </xf>
    <xf numFmtId="172" fontId="94" fillId="0" borderId="136" xfId="0" applyNumberFormat="1" applyFont="1" applyBorder="1" applyAlignment="1">
      <alignment horizontal="left" vertical="center"/>
    </xf>
    <xf numFmtId="168" fontId="49" fillId="43" borderId="94" xfId="61" applyFont="1" applyFill="1" applyBorder="1" applyAlignment="1" applyProtection="1">
      <alignment horizontal="center" vertical="center"/>
    </xf>
    <xf numFmtId="1" fontId="49" fillId="43" borderId="28" xfId="60" applyNumberFormat="1" applyFont="1" applyFill="1" applyBorder="1" applyAlignment="1" applyProtection="1">
      <alignment horizontal="center" vertical="center"/>
    </xf>
    <xf numFmtId="16" fontId="49" fillId="43" borderId="156" xfId="60" applyNumberFormat="1" applyFont="1" applyFill="1" applyBorder="1" applyAlignment="1" applyProtection="1">
      <alignment horizontal="center" vertical="center"/>
    </xf>
    <xf numFmtId="16" fontId="49" fillId="43" borderId="90" xfId="60" applyNumberFormat="1" applyFont="1" applyFill="1" applyBorder="1" applyAlignment="1" applyProtection="1">
      <alignment vertical="center"/>
    </xf>
    <xf numFmtId="169" fontId="49" fillId="43" borderId="90" xfId="60" applyNumberFormat="1" applyFont="1" applyFill="1" applyBorder="1" applyAlignment="1" applyProtection="1">
      <alignment vertical="center"/>
    </xf>
    <xf numFmtId="169" fontId="49" fillId="43" borderId="90" xfId="60" applyNumberFormat="1" applyFont="1" applyFill="1" applyBorder="1" applyAlignment="1" applyProtection="1">
      <alignment horizontal="center" vertical="center"/>
    </xf>
    <xf numFmtId="49" fontId="49" fillId="43" borderId="90" xfId="60" applyNumberFormat="1" applyFont="1" applyFill="1" applyBorder="1" applyAlignment="1" applyProtection="1">
      <alignment horizontal="center" vertical="center"/>
    </xf>
    <xf numFmtId="167" fontId="59" fillId="41" borderId="0" xfId="59" applyNumberFormat="1" applyFont="1" applyFill="1" applyBorder="1" applyAlignment="1">
      <alignment vertical="center"/>
    </xf>
    <xf numFmtId="0" fontId="49" fillId="41" borderId="0" xfId="60" applyFont="1" applyFill="1" applyBorder="1" applyAlignment="1" applyProtection="1">
      <alignment horizontal="center" vertical="center"/>
    </xf>
    <xf numFmtId="0" fontId="64" fillId="41" borderId="0" xfId="58" applyFont="1" applyFill="1" applyAlignment="1">
      <alignment vertical="center"/>
    </xf>
    <xf numFmtId="0" fontId="64" fillId="41" borderId="0" xfId="58" applyFont="1" applyFill="1" applyBorder="1" applyAlignment="1">
      <alignment vertical="center"/>
    </xf>
    <xf numFmtId="1" fontId="69" fillId="41" borderId="0" xfId="60" applyNumberFormat="1" applyFont="1" applyFill="1" applyBorder="1" applyAlignment="1" applyProtection="1">
      <alignment horizontal="center" vertical="center"/>
    </xf>
    <xf numFmtId="0" fontId="41" fillId="41" borderId="0" xfId="60" applyFont="1" applyFill="1" applyBorder="1" applyAlignment="1" applyProtection="1">
      <alignment horizontal="center" vertical="center"/>
    </xf>
    <xf numFmtId="16" fontId="41" fillId="41" borderId="0" xfId="60" applyNumberFormat="1" applyFont="1" applyFill="1" applyBorder="1" applyAlignment="1" applyProtection="1">
      <alignment horizontal="center" vertical="center"/>
      <protection locked="0"/>
    </xf>
    <xf numFmtId="16" fontId="41" fillId="41" borderId="0" xfId="60" applyNumberFormat="1" applyFont="1" applyFill="1" applyBorder="1" applyAlignment="1" applyProtection="1">
      <alignment vertical="center" wrapText="1"/>
      <protection locked="0"/>
    </xf>
    <xf numFmtId="1" fontId="41" fillId="41" borderId="0" xfId="60" applyNumberFormat="1" applyFont="1" applyFill="1" applyBorder="1" applyAlignment="1" applyProtection="1">
      <alignment horizontal="center" vertical="center"/>
      <protection locked="0"/>
    </xf>
    <xf numFmtId="1" fontId="41" fillId="41" borderId="0" xfId="61" applyNumberFormat="1" applyFont="1" applyFill="1" applyBorder="1" applyAlignment="1" applyProtection="1">
      <alignment horizontal="center" vertical="center"/>
      <protection locked="0"/>
    </xf>
    <xf numFmtId="1" fontId="41" fillId="41" borderId="0" xfId="60" applyNumberFormat="1" applyFont="1" applyFill="1" applyBorder="1" applyAlignment="1" applyProtection="1">
      <alignment horizontal="center" vertical="center"/>
    </xf>
    <xf numFmtId="16" fontId="44" fillId="41" borderId="0" xfId="60" applyNumberFormat="1" applyFont="1" applyFill="1" applyBorder="1" applyAlignment="1" applyProtection="1">
      <alignment horizontal="center" vertical="center"/>
      <protection locked="0"/>
    </xf>
    <xf numFmtId="16" fontId="44" fillId="41" borderId="0" xfId="60" applyNumberFormat="1" applyFont="1" applyFill="1" applyBorder="1" applyAlignment="1" applyProtection="1">
      <alignment vertical="center" wrapText="1"/>
      <protection locked="0"/>
    </xf>
    <xf numFmtId="1" fontId="44" fillId="41" borderId="0" xfId="60" applyNumberFormat="1" applyFont="1" applyFill="1" applyBorder="1" applyAlignment="1" applyProtection="1">
      <alignment horizontal="center" vertical="center"/>
      <protection locked="0"/>
    </xf>
    <xf numFmtId="1" fontId="44" fillId="41" borderId="0" xfId="61" applyNumberFormat="1" applyFont="1" applyFill="1" applyBorder="1" applyAlignment="1" applyProtection="1">
      <alignment horizontal="center" vertical="center"/>
      <protection locked="0"/>
    </xf>
    <xf numFmtId="1" fontId="70" fillId="41" borderId="0" xfId="60" applyNumberFormat="1" applyFont="1" applyFill="1" applyBorder="1" applyAlignment="1" applyProtection="1">
      <alignment horizontal="center" vertical="center"/>
    </xf>
    <xf numFmtId="0" fontId="44" fillId="41" borderId="0" xfId="60" applyFont="1" applyFill="1" applyBorder="1" applyAlignment="1" applyProtection="1">
      <alignment horizontal="center" vertical="center"/>
    </xf>
    <xf numFmtId="168" fontId="44" fillId="41" borderId="0" xfId="61" applyFont="1" applyFill="1" applyBorder="1" applyAlignment="1" applyProtection="1">
      <alignment vertical="center"/>
      <protection locked="0"/>
    </xf>
    <xf numFmtId="0" fontId="68" fillId="41" borderId="0" xfId="58" applyFont="1" applyFill="1" applyBorder="1" applyAlignment="1">
      <alignment vertical="center"/>
    </xf>
    <xf numFmtId="173" fontId="68" fillId="41" borderId="0" xfId="58" applyNumberFormat="1" applyFont="1" applyFill="1" applyBorder="1" applyAlignment="1">
      <alignment vertical="center"/>
    </xf>
    <xf numFmtId="173" fontId="68" fillId="41" borderId="0" xfId="58" applyNumberFormat="1" applyFont="1" applyFill="1" applyBorder="1" applyAlignment="1">
      <alignment horizontal="center" vertical="center"/>
    </xf>
    <xf numFmtId="49" fontId="64" fillId="41" borderId="0" xfId="58" applyNumberFormat="1" applyFont="1" applyFill="1" applyAlignment="1">
      <alignment horizontal="center" vertical="center"/>
    </xf>
    <xf numFmtId="0" fontId="103" fillId="41" borderId="0" xfId="60" applyFont="1" applyFill="1" applyBorder="1" applyAlignment="1" applyProtection="1">
      <alignment vertical="center"/>
    </xf>
    <xf numFmtId="169" fontId="41" fillId="41" borderId="0" xfId="61" applyNumberFormat="1" applyFont="1" applyFill="1" applyBorder="1" applyAlignment="1" applyProtection="1">
      <alignment horizontal="center" vertical="center"/>
      <protection locked="0"/>
    </xf>
    <xf numFmtId="16" fontId="74" fillId="41" borderId="0" xfId="60" applyNumberFormat="1" applyFont="1" applyFill="1" applyBorder="1" applyAlignment="1" applyProtection="1">
      <alignment horizontal="center" vertical="center"/>
      <protection locked="0"/>
    </xf>
    <xf numFmtId="16" fontId="74" fillId="41" borderId="0" xfId="60" applyNumberFormat="1" applyFont="1" applyFill="1" applyBorder="1" applyAlignment="1" applyProtection="1">
      <alignment vertical="center" wrapText="1"/>
      <protection locked="0"/>
    </xf>
    <xf numFmtId="169" fontId="74" fillId="41" borderId="0" xfId="61" applyNumberFormat="1" applyFont="1" applyFill="1" applyBorder="1" applyAlignment="1" applyProtection="1">
      <alignment vertical="center"/>
      <protection locked="0"/>
    </xf>
    <xf numFmtId="1" fontId="49" fillId="43" borderId="94" xfId="61" applyNumberFormat="1" applyFont="1" applyFill="1" applyBorder="1" applyAlignment="1" applyProtection="1">
      <alignment horizontal="center" vertical="center"/>
    </xf>
    <xf numFmtId="174" fontId="104" fillId="41" borderId="0" xfId="60" applyNumberFormat="1" applyFont="1" applyFill="1" applyBorder="1" applyAlignment="1" applyProtection="1">
      <alignment horizontal="center" vertical="center"/>
      <protection locked="0"/>
    </xf>
    <xf numFmtId="16" fontId="104" fillId="41" borderId="0" xfId="60" applyNumberFormat="1" applyFont="1" applyFill="1" applyBorder="1" applyAlignment="1" applyProtection="1">
      <alignment horizontal="center" vertical="center" wrapText="1"/>
      <protection locked="0"/>
    </xf>
    <xf numFmtId="14" fontId="104" fillId="41" borderId="0" xfId="60" applyNumberFormat="1" applyFont="1" applyFill="1" applyBorder="1" applyAlignment="1" applyProtection="1">
      <alignment horizontal="center" vertical="center"/>
      <protection locked="0"/>
    </xf>
    <xf numFmtId="0" fontId="49" fillId="52" borderId="0" xfId="60" applyFont="1" applyFill="1" applyBorder="1" applyAlignment="1" applyProtection="1">
      <alignment horizontal="center" vertical="center"/>
    </xf>
    <xf numFmtId="1" fontId="68" fillId="41" borderId="0" xfId="58" applyNumberFormat="1" applyFont="1" applyFill="1" applyBorder="1" applyAlignment="1">
      <alignment horizontal="center" vertical="center"/>
    </xf>
    <xf numFmtId="16" fontId="41" fillId="0" borderId="158" xfId="60" applyNumberFormat="1" applyFont="1" applyFill="1" applyBorder="1" applyAlignment="1" applyProtection="1">
      <alignment vertical="center" wrapText="1"/>
      <protection locked="0"/>
    </xf>
    <xf numFmtId="169" fontId="41" fillId="0" borderId="158" xfId="60" applyNumberFormat="1" applyFont="1" applyFill="1" applyBorder="1" applyAlignment="1" applyProtection="1">
      <alignment vertical="center" wrapText="1"/>
      <protection locked="0"/>
    </xf>
    <xf numFmtId="173" fontId="41" fillId="0" borderId="158" xfId="60" applyNumberFormat="1" applyFont="1" applyFill="1" applyBorder="1" applyAlignment="1" applyProtection="1">
      <alignment vertical="center" wrapText="1"/>
      <protection locked="0"/>
    </xf>
    <xf numFmtId="16" fontId="40" fillId="0" borderId="158" xfId="60" applyNumberFormat="1" applyFont="1" applyFill="1" applyBorder="1" applyAlignment="1" applyProtection="1">
      <alignment horizontal="center" vertical="center" wrapText="1"/>
      <protection locked="0"/>
    </xf>
    <xf numFmtId="16" fontId="41" fillId="0" borderId="159" xfId="60" applyNumberFormat="1" applyFont="1" applyFill="1" applyBorder="1" applyAlignment="1" applyProtection="1">
      <alignment horizontal="center" vertical="center"/>
      <protection locked="0"/>
    </xf>
    <xf numFmtId="16" fontId="41" fillId="0" borderId="160" xfId="60" applyNumberFormat="1" applyFont="1" applyFill="1" applyBorder="1" applyAlignment="1" applyProtection="1">
      <alignment vertical="center" wrapText="1"/>
      <protection locked="0"/>
    </xf>
    <xf numFmtId="169" fontId="41" fillId="0" borderId="160" xfId="60" applyNumberFormat="1" applyFont="1" applyFill="1" applyBorder="1" applyAlignment="1" applyProtection="1">
      <alignment vertical="center" wrapText="1"/>
      <protection locked="0"/>
    </xf>
    <xf numFmtId="173" fontId="41" fillId="0" borderId="160" xfId="60" applyNumberFormat="1" applyFont="1" applyFill="1" applyBorder="1" applyAlignment="1" applyProtection="1">
      <alignment vertical="center" wrapText="1"/>
      <protection locked="0"/>
    </xf>
    <xf numFmtId="16" fontId="40" fillId="0" borderId="160" xfId="60" applyNumberFormat="1" applyFont="1" applyFill="1" applyBorder="1" applyAlignment="1" applyProtection="1">
      <alignment horizontal="center" vertical="center" wrapText="1"/>
      <protection locked="0"/>
    </xf>
    <xf numFmtId="16" fontId="41" fillId="0" borderId="162" xfId="60" applyNumberFormat="1" applyFont="1" applyFill="1" applyBorder="1" applyAlignment="1" applyProtection="1">
      <alignment horizontal="center" vertical="center"/>
      <protection locked="0"/>
    </xf>
    <xf numFmtId="16" fontId="41" fillId="0" borderId="163" xfId="60" applyNumberFormat="1" applyFont="1" applyFill="1" applyBorder="1" applyAlignment="1" applyProtection="1">
      <alignment vertical="center" wrapText="1"/>
      <protection locked="0"/>
    </xf>
    <xf numFmtId="169" fontId="41" fillId="0" borderId="163" xfId="60" applyNumberFormat="1" applyFont="1" applyFill="1" applyBorder="1" applyAlignment="1" applyProtection="1">
      <alignment vertical="center" wrapText="1"/>
      <protection locked="0"/>
    </xf>
    <xf numFmtId="173" fontId="41" fillId="0" borderId="163" xfId="60" applyNumberFormat="1" applyFont="1" applyFill="1" applyBorder="1" applyAlignment="1" applyProtection="1">
      <alignment vertical="center" wrapText="1"/>
      <protection locked="0"/>
    </xf>
    <xf numFmtId="16" fontId="40" fillId="0" borderId="163" xfId="60" applyNumberFormat="1" applyFont="1" applyFill="1" applyBorder="1" applyAlignment="1" applyProtection="1">
      <alignment horizontal="center" vertical="center" wrapText="1"/>
      <protection locked="0"/>
    </xf>
    <xf numFmtId="0" fontId="41" fillId="0" borderId="165" xfId="60" applyFont="1" applyFill="1" applyBorder="1" applyAlignment="1" applyProtection="1">
      <alignment horizontal="center" vertical="center"/>
    </xf>
    <xf numFmtId="0" fontId="41" fillId="0" borderId="167" xfId="60" applyFont="1" applyFill="1" applyBorder="1" applyAlignment="1" applyProtection="1">
      <alignment horizontal="center" vertical="center"/>
    </xf>
    <xf numFmtId="16" fontId="40" fillId="43" borderId="174" xfId="60" applyNumberFormat="1" applyFont="1" applyFill="1" applyBorder="1" applyAlignment="1" applyProtection="1">
      <alignment horizontal="center" vertical="center"/>
      <protection locked="0"/>
    </xf>
    <xf numFmtId="16" fontId="40" fillId="43" borderId="168" xfId="60" applyNumberFormat="1" applyFont="1" applyFill="1" applyBorder="1" applyAlignment="1" applyProtection="1">
      <alignment vertical="center" wrapText="1"/>
      <protection locked="0"/>
    </xf>
    <xf numFmtId="169" fontId="40" fillId="43" borderId="168" xfId="61" applyNumberFormat="1" applyFont="1" applyFill="1" applyBorder="1" applyAlignment="1" applyProtection="1">
      <alignment vertical="center"/>
      <protection locked="0"/>
    </xf>
    <xf numFmtId="169" fontId="49" fillId="43" borderId="166" xfId="60" applyNumberFormat="1" applyFont="1" applyFill="1" applyBorder="1" applyAlignment="1" applyProtection="1">
      <alignment horizontal="center" vertical="center"/>
    </xf>
    <xf numFmtId="49" fontId="49" fillId="43" borderId="175" xfId="60" applyNumberFormat="1" applyFont="1" applyFill="1" applyBorder="1" applyAlignment="1" applyProtection="1">
      <alignment horizontal="center" vertical="center"/>
    </xf>
    <xf numFmtId="173" fontId="40" fillId="43" borderId="168" xfId="60" applyNumberFormat="1" applyFont="1" applyFill="1" applyBorder="1" applyAlignment="1" applyProtection="1">
      <alignment horizontal="center" vertical="center"/>
    </xf>
    <xf numFmtId="49" fontId="40" fillId="43" borderId="169" xfId="60" applyNumberFormat="1" applyFont="1" applyFill="1" applyBorder="1" applyAlignment="1" applyProtection="1">
      <alignment horizontal="center" vertical="center" wrapText="1"/>
      <protection locked="0"/>
    </xf>
    <xf numFmtId="173" fontId="40" fillId="43" borderId="168" xfId="60" applyNumberFormat="1" applyFont="1" applyFill="1" applyBorder="1" applyAlignment="1" applyProtection="1">
      <alignment vertical="center" wrapText="1"/>
      <protection locked="0"/>
    </xf>
    <xf numFmtId="173" fontId="40" fillId="43" borderId="168" xfId="60" applyNumberFormat="1" applyFont="1" applyFill="1" applyBorder="1" applyAlignment="1" applyProtection="1">
      <alignment horizontal="center" vertical="center" wrapText="1"/>
      <protection locked="0"/>
    </xf>
    <xf numFmtId="16" fontId="40" fillId="43" borderId="176" xfId="60" applyNumberFormat="1" applyFont="1" applyFill="1" applyBorder="1" applyAlignment="1" applyProtection="1">
      <alignment horizontal="center" vertical="center"/>
      <protection locked="0"/>
    </xf>
    <xf numFmtId="16" fontId="40" fillId="43" borderId="177" xfId="60" applyNumberFormat="1" applyFont="1" applyFill="1" applyBorder="1" applyAlignment="1" applyProtection="1">
      <alignment vertical="center" wrapText="1"/>
      <protection locked="0"/>
    </xf>
    <xf numFmtId="169" fontId="40" fillId="43" borderId="177" xfId="61" applyNumberFormat="1" applyFont="1" applyFill="1" applyBorder="1" applyAlignment="1" applyProtection="1">
      <alignment vertical="center"/>
      <protection locked="0"/>
    </xf>
    <xf numFmtId="173" fontId="40" fillId="43" borderId="177" xfId="60" applyNumberFormat="1" applyFont="1" applyFill="1" applyBorder="1" applyAlignment="1" applyProtection="1">
      <alignment horizontal="center" vertical="center"/>
    </xf>
    <xf numFmtId="49" fontId="40" fillId="43" borderId="178" xfId="60" applyNumberFormat="1" applyFont="1" applyFill="1" applyBorder="1" applyAlignment="1" applyProtection="1">
      <alignment horizontal="center" vertical="center" wrapText="1"/>
      <protection locked="0"/>
    </xf>
    <xf numFmtId="1" fontId="40" fillId="41" borderId="0" xfId="58" applyNumberFormat="1" applyFont="1" applyFill="1" applyAlignment="1">
      <alignment horizontal="center" vertical="center"/>
    </xf>
    <xf numFmtId="1" fontId="40" fillId="41" borderId="0" xfId="58" applyNumberFormat="1" applyFont="1" applyFill="1" applyBorder="1" applyAlignment="1">
      <alignment horizontal="center" vertical="center"/>
    </xf>
    <xf numFmtId="0" fontId="40" fillId="41" borderId="0" xfId="58" applyFont="1" applyFill="1" applyAlignment="1">
      <alignment horizontal="center" vertical="center"/>
    </xf>
    <xf numFmtId="169" fontId="79" fillId="41" borderId="0" xfId="0" applyNumberFormat="1" applyFont="1" applyFill="1" applyBorder="1" applyAlignment="1">
      <alignment horizontal="center" vertical="center"/>
    </xf>
    <xf numFmtId="1" fontId="79" fillId="43" borderId="90" xfId="61" applyNumberFormat="1" applyFont="1" applyFill="1" applyBorder="1" applyAlignment="1" applyProtection="1">
      <alignment horizontal="center" vertical="center"/>
    </xf>
    <xf numFmtId="1" fontId="79" fillId="43" borderId="157" xfId="60" applyNumberFormat="1" applyFont="1" applyFill="1" applyBorder="1" applyAlignment="1" applyProtection="1">
      <alignment horizontal="center" vertical="center"/>
    </xf>
    <xf numFmtId="0" fontId="41" fillId="0" borderId="160" xfId="0" applyFont="1" applyBorder="1" applyAlignment="1">
      <alignment horizontal="center" vertical="center"/>
    </xf>
    <xf numFmtId="0" fontId="41" fillId="0" borderId="161" xfId="0" applyFont="1" applyBorder="1" applyAlignment="1">
      <alignment horizontal="center" vertical="center"/>
    </xf>
    <xf numFmtId="0" fontId="41" fillId="0" borderId="163" xfId="0" applyFont="1" applyBorder="1" applyAlignment="1">
      <alignment horizontal="center" vertical="center"/>
    </xf>
    <xf numFmtId="0" fontId="41" fillId="0" borderId="164" xfId="0" applyFont="1" applyBorder="1" applyAlignment="1">
      <alignment horizontal="center" vertical="center"/>
    </xf>
    <xf numFmtId="1" fontId="79" fillId="41" borderId="0" xfId="61" applyNumberFormat="1" applyFont="1" applyFill="1" applyBorder="1" applyAlignment="1" applyProtection="1">
      <alignment horizontal="center" vertical="center"/>
    </xf>
    <xf numFmtId="1" fontId="79" fillId="41" borderId="0" xfId="60" applyNumberFormat="1" applyFont="1" applyFill="1" applyBorder="1" applyAlignment="1" applyProtection="1">
      <alignment horizontal="center" vertical="center"/>
    </xf>
    <xf numFmtId="16" fontId="41" fillId="0" borderId="179" xfId="60" applyNumberFormat="1" applyFont="1" applyFill="1" applyBorder="1" applyAlignment="1" applyProtection="1">
      <alignment horizontal="center" vertical="center"/>
      <protection locked="0"/>
    </xf>
    <xf numFmtId="16" fontId="41" fillId="0" borderId="180" xfId="60" applyNumberFormat="1" applyFont="1" applyFill="1" applyBorder="1" applyAlignment="1" applyProtection="1">
      <alignment horizontal="center" vertical="center"/>
      <protection locked="0"/>
    </xf>
    <xf numFmtId="16" fontId="40" fillId="43" borderId="181" xfId="60" applyNumberFormat="1" applyFont="1" applyFill="1" applyBorder="1" applyAlignment="1" applyProtection="1">
      <alignment horizontal="center" vertical="center"/>
      <protection locked="0"/>
    </xf>
    <xf numFmtId="16" fontId="40" fillId="43" borderId="182" xfId="60" applyNumberFormat="1" applyFont="1" applyFill="1" applyBorder="1" applyAlignment="1" applyProtection="1">
      <alignment horizontal="center" vertical="center"/>
      <protection locked="0"/>
    </xf>
    <xf numFmtId="169" fontId="0" fillId="0" borderId="136" xfId="38" applyNumberFormat="1" applyFont="1" applyBorder="1" applyAlignment="1">
      <alignment horizontal="center" vertical="center"/>
    </xf>
    <xf numFmtId="169" fontId="9" fillId="0" borderId="51" xfId="38" applyNumberFormat="1" applyFont="1" applyBorder="1" applyAlignment="1">
      <alignment vertical="center"/>
    </xf>
    <xf numFmtId="169" fontId="71" fillId="43" borderId="50" xfId="38" applyNumberFormat="1" applyFont="1" applyFill="1" applyBorder="1" applyAlignment="1">
      <alignment vertical="center"/>
    </xf>
    <xf numFmtId="169" fontId="73" fillId="44" borderId="26" xfId="38" applyNumberFormat="1" applyFont="1" applyFill="1" applyBorder="1" applyAlignment="1">
      <alignment horizontal="center" vertical="center"/>
    </xf>
    <xf numFmtId="169" fontId="73" fillId="44" borderId="133" xfId="38" applyNumberFormat="1" applyFont="1" applyFill="1" applyBorder="1" applyAlignment="1">
      <alignment horizontal="center" vertical="center"/>
    </xf>
    <xf numFmtId="169" fontId="73" fillId="44" borderId="16" xfId="38" applyNumberFormat="1" applyFont="1" applyFill="1" applyBorder="1" applyAlignment="1">
      <alignment horizontal="center" vertical="center"/>
    </xf>
    <xf numFmtId="169" fontId="73" fillId="44" borderId="54" xfId="38" applyNumberFormat="1" applyFont="1" applyFill="1" applyBorder="1" applyAlignment="1">
      <alignment horizontal="center" vertical="center"/>
    </xf>
    <xf numFmtId="169" fontId="72" fillId="43" borderId="52" xfId="38" applyNumberFormat="1" applyFont="1" applyFill="1" applyBorder="1" applyAlignment="1">
      <alignment vertical="center"/>
    </xf>
    <xf numFmtId="169" fontId="0" fillId="0" borderId="0" xfId="38" applyNumberFormat="1" applyFont="1" applyAlignment="1">
      <alignment horizontal="center" vertical="center"/>
    </xf>
    <xf numFmtId="169" fontId="73" fillId="0" borderId="0" xfId="38" applyNumberFormat="1" applyFont="1" applyFill="1" applyBorder="1" applyAlignment="1">
      <alignment horizontal="center" vertical="center"/>
    </xf>
    <xf numFmtId="169" fontId="36" fillId="0" borderId="0" xfId="0" applyNumberFormat="1" applyFont="1" applyFill="1" applyAlignment="1">
      <alignment vertical="center"/>
    </xf>
    <xf numFmtId="0" fontId="41" fillId="49" borderId="160" xfId="0" applyFont="1" applyFill="1" applyBorder="1" applyAlignment="1">
      <alignment horizontal="center" vertical="center"/>
    </xf>
    <xf numFmtId="0" fontId="41" fillId="49" borderId="161" xfId="0" applyFont="1" applyFill="1" applyBorder="1" applyAlignment="1">
      <alignment horizontal="center" vertical="center"/>
    </xf>
    <xf numFmtId="0" fontId="41" fillId="0" borderId="160" xfId="0" applyFont="1" applyFill="1" applyBorder="1" applyAlignment="1">
      <alignment horizontal="center" vertical="center"/>
    </xf>
    <xf numFmtId="0" fontId="41" fillId="0" borderId="161" xfId="0" applyFont="1" applyFill="1" applyBorder="1" applyAlignment="1">
      <alignment horizontal="center" vertical="center"/>
    </xf>
    <xf numFmtId="0" fontId="103" fillId="41" borderId="0" xfId="60" applyFont="1" applyFill="1" applyBorder="1" applyAlignment="1" applyProtection="1">
      <alignment horizontal="center" vertical="center"/>
    </xf>
    <xf numFmtId="167" fontId="59" fillId="41" borderId="183" xfId="59" applyNumberFormat="1" applyFont="1" applyFill="1" applyBorder="1" applyAlignment="1">
      <alignment vertical="center"/>
    </xf>
    <xf numFmtId="167" fontId="59" fillId="0" borderId="48" xfId="59" applyNumberFormat="1" applyFont="1" applyFill="1" applyBorder="1" applyAlignment="1">
      <alignment vertical="center"/>
    </xf>
    <xf numFmtId="167" fontId="59" fillId="41" borderId="45" xfId="59" applyNumberFormat="1" applyFont="1" applyFill="1" applyBorder="1" applyAlignment="1">
      <alignment vertical="center"/>
    </xf>
    <xf numFmtId="16" fontId="49" fillId="41" borderId="183" xfId="60" applyNumberFormat="1" applyFont="1" applyFill="1" applyBorder="1" applyAlignment="1" applyProtection="1">
      <alignment horizontal="center" vertical="center"/>
    </xf>
    <xf numFmtId="16" fontId="49" fillId="41" borderId="48" xfId="60" applyNumberFormat="1" applyFont="1" applyFill="1" applyBorder="1" applyAlignment="1" applyProtection="1">
      <alignment vertical="center"/>
    </xf>
    <xf numFmtId="1" fontId="49" fillId="41" borderId="48" xfId="60" applyNumberFormat="1" applyFont="1" applyFill="1" applyBorder="1" applyAlignment="1" applyProtection="1">
      <alignment horizontal="center" vertical="center" wrapText="1"/>
    </xf>
    <xf numFmtId="1" fontId="49" fillId="41" borderId="184" xfId="61" applyNumberFormat="1" applyFont="1" applyFill="1" applyBorder="1" applyAlignment="1" applyProtection="1">
      <alignment horizontal="center" vertical="center"/>
    </xf>
    <xf numFmtId="16" fontId="41" fillId="41" borderId="45" xfId="60" applyNumberFormat="1" applyFont="1" applyFill="1" applyBorder="1" applyAlignment="1" applyProtection="1">
      <alignment horizontal="center" vertical="center"/>
      <protection locked="0"/>
    </xf>
    <xf numFmtId="1" fontId="41" fillId="41" borderId="95" xfId="61" applyNumberFormat="1" applyFont="1" applyFill="1" applyBorder="1" applyAlignment="1" applyProtection="1">
      <alignment horizontal="center" vertical="center"/>
      <protection locked="0"/>
    </xf>
    <xf numFmtId="16" fontId="41" fillId="41" borderId="96" xfId="60" applyNumberFormat="1" applyFont="1" applyFill="1" applyBorder="1" applyAlignment="1" applyProtection="1">
      <alignment horizontal="center" vertical="center"/>
      <protection locked="0"/>
    </xf>
    <xf numFmtId="16" fontId="41" fillId="41" borderId="51" xfId="60" applyNumberFormat="1" applyFont="1" applyFill="1" applyBorder="1" applyAlignment="1" applyProtection="1">
      <alignment vertical="center" wrapText="1"/>
      <protection locked="0"/>
    </xf>
    <xf numFmtId="1" fontId="41" fillId="41" borderId="51" xfId="60" applyNumberFormat="1" applyFont="1" applyFill="1" applyBorder="1" applyAlignment="1" applyProtection="1">
      <alignment horizontal="center" vertical="center"/>
      <protection locked="0"/>
    </xf>
    <xf numFmtId="1" fontId="41" fillId="41" borderId="41" xfId="61" applyNumberFormat="1" applyFont="1" applyFill="1" applyBorder="1" applyAlignment="1" applyProtection="1">
      <alignment horizontal="center" vertical="center"/>
      <protection locked="0"/>
    </xf>
    <xf numFmtId="0" fontId="41" fillId="41" borderId="0" xfId="58" applyFont="1" applyFill="1" applyAlignment="1">
      <alignment horizontal="center" vertical="center"/>
    </xf>
    <xf numFmtId="0" fontId="79" fillId="43" borderId="46" xfId="60" applyFont="1" applyFill="1" applyBorder="1" applyAlignment="1" applyProtection="1">
      <alignment horizontal="center" vertical="center"/>
    </xf>
    <xf numFmtId="0" fontId="79" fillId="41" borderId="0" xfId="60" applyFont="1" applyFill="1" applyBorder="1" applyAlignment="1" applyProtection="1">
      <alignment horizontal="center" vertical="center"/>
    </xf>
    <xf numFmtId="0" fontId="1" fillId="41" borderId="0" xfId="58" applyFont="1" applyFill="1" applyAlignment="1">
      <alignment vertical="center"/>
    </xf>
    <xf numFmtId="14" fontId="1" fillId="41" borderId="0" xfId="58" applyNumberFormat="1" applyFont="1" applyFill="1" applyAlignment="1">
      <alignment vertical="center"/>
    </xf>
    <xf numFmtId="1" fontId="1" fillId="41" borderId="0" xfId="58" applyNumberFormat="1" applyFont="1" applyFill="1" applyAlignment="1">
      <alignment horizontal="center" vertical="center"/>
    </xf>
    <xf numFmtId="0" fontId="1" fillId="41" borderId="0" xfId="58" applyNumberFormat="1" applyFont="1" applyFill="1" applyAlignment="1">
      <alignment horizontal="center" vertical="center"/>
    </xf>
    <xf numFmtId="0" fontId="1" fillId="41" borderId="0" xfId="58" applyFont="1" applyFill="1" applyBorder="1" applyAlignment="1">
      <alignment vertical="center"/>
    </xf>
    <xf numFmtId="169" fontId="1" fillId="41" borderId="0" xfId="58" applyNumberFormat="1" applyFont="1" applyFill="1" applyAlignment="1">
      <alignment vertical="center"/>
    </xf>
    <xf numFmtId="0" fontId="1" fillId="41" borderId="0" xfId="58" applyFont="1" applyFill="1" applyAlignment="1">
      <alignment vertical="center" wrapText="1"/>
    </xf>
    <xf numFmtId="0" fontId="76" fillId="41" borderId="96" xfId="0" applyFont="1" applyFill="1" applyBorder="1" applyAlignment="1">
      <alignment horizontal="center" vertical="center"/>
    </xf>
    <xf numFmtId="0" fontId="76" fillId="0" borderId="51" xfId="0" applyFont="1" applyFill="1" applyBorder="1" applyAlignment="1">
      <alignment horizontal="center" vertical="center" wrapText="1"/>
    </xf>
    <xf numFmtId="0" fontId="76" fillId="0" borderId="51" xfId="0" applyFont="1" applyFill="1" applyBorder="1" applyAlignment="1">
      <alignment horizontal="center" vertical="center"/>
    </xf>
    <xf numFmtId="169" fontId="76" fillId="41" borderId="0" xfId="0" applyNumberFormat="1" applyFont="1" applyFill="1" applyBorder="1" applyAlignment="1">
      <alignment horizontal="center" vertical="center" textRotation="45"/>
    </xf>
    <xf numFmtId="169" fontId="108" fillId="41" borderId="0" xfId="0" applyNumberFormat="1" applyFont="1" applyFill="1" applyBorder="1" applyAlignment="1">
      <alignment vertical="center" textRotation="90"/>
    </xf>
    <xf numFmtId="169" fontId="88" fillId="41" borderId="0" xfId="0" applyNumberFormat="1" applyFont="1" applyFill="1" applyBorder="1" applyAlignment="1">
      <alignment vertical="center"/>
    </xf>
    <xf numFmtId="0" fontId="76" fillId="41" borderId="0" xfId="0" applyFont="1" applyFill="1" applyBorder="1" applyAlignment="1">
      <alignment horizontal="center" vertical="center"/>
    </xf>
    <xf numFmtId="0" fontId="76" fillId="0" borderId="0" xfId="0" applyFont="1" applyFill="1" applyBorder="1" applyAlignment="1">
      <alignment horizontal="center" vertical="center" wrapText="1"/>
    </xf>
    <xf numFmtId="0" fontId="44" fillId="0" borderId="0" xfId="0" applyFont="1"/>
    <xf numFmtId="9" fontId="85" fillId="41" borderId="0" xfId="52" applyFont="1" applyFill="1" applyBorder="1" applyAlignment="1">
      <alignment horizontal="center" vertical="center"/>
    </xf>
    <xf numFmtId="169" fontId="85" fillId="41" borderId="0" xfId="0" applyNumberFormat="1" applyFont="1" applyFill="1" applyBorder="1" applyAlignment="1">
      <alignment horizontal="center" vertical="center"/>
    </xf>
    <xf numFmtId="9" fontId="85" fillId="0" borderId="0" xfId="52" applyFont="1" applyFill="1" applyBorder="1" applyAlignment="1">
      <alignment horizontal="center" vertical="center"/>
    </xf>
    <xf numFmtId="169" fontId="85" fillId="0" borderId="0" xfId="0" applyNumberFormat="1" applyFont="1" applyFill="1" applyBorder="1" applyAlignment="1">
      <alignment horizontal="center" vertical="center"/>
    </xf>
    <xf numFmtId="1" fontId="85" fillId="0" borderId="0" xfId="52" applyNumberFormat="1" applyFont="1" applyFill="1" applyBorder="1" applyAlignment="1">
      <alignment horizontal="center" vertical="center"/>
    </xf>
    <xf numFmtId="0" fontId="44" fillId="0" borderId="168" xfId="0" applyFont="1" applyBorder="1"/>
    <xf numFmtId="0" fontId="44" fillId="0" borderId="168" xfId="0" applyFont="1" applyFill="1" applyBorder="1"/>
    <xf numFmtId="0" fontId="44" fillId="0" borderId="169" xfId="0" applyFont="1" applyFill="1" applyBorder="1"/>
    <xf numFmtId="0" fontId="44" fillId="0" borderId="172" xfId="0" applyFont="1" applyBorder="1"/>
    <xf numFmtId="0" fontId="44" fillId="0" borderId="169" xfId="0" applyFont="1" applyBorder="1"/>
    <xf numFmtId="16" fontId="44" fillId="0" borderId="168" xfId="0" applyNumberFormat="1" applyFont="1" applyBorder="1"/>
    <xf numFmtId="0" fontId="44" fillId="0" borderId="170" xfId="0" applyFont="1" applyBorder="1"/>
    <xf numFmtId="16" fontId="44" fillId="0" borderId="170" xfId="0" applyNumberFormat="1" applyFont="1" applyBorder="1"/>
    <xf numFmtId="0" fontId="44" fillId="0" borderId="170" xfId="0" applyFont="1" applyFill="1" applyBorder="1"/>
    <xf numFmtId="0" fontId="44" fillId="0" borderId="171" xfId="0" applyFont="1" applyFill="1" applyBorder="1"/>
    <xf numFmtId="0" fontId="44" fillId="0" borderId="173" xfId="0" applyFont="1" applyBorder="1"/>
    <xf numFmtId="0" fontId="44" fillId="0" borderId="171" xfId="0" applyFont="1" applyBorder="1"/>
    <xf numFmtId="0" fontId="1" fillId="0" borderId="0" xfId="58" applyFont="1" applyAlignment="1">
      <alignment vertical="center" wrapText="1"/>
    </xf>
    <xf numFmtId="0" fontId="1" fillId="0" borderId="0" xfId="58" applyFont="1" applyAlignment="1">
      <alignment vertical="center"/>
    </xf>
    <xf numFmtId="0" fontId="41" fillId="0" borderId="168" xfId="0" applyFont="1" applyBorder="1" applyAlignment="1">
      <alignment horizontal="center" vertical="center"/>
    </xf>
    <xf numFmtId="0" fontId="44" fillId="43" borderId="172" xfId="0" applyFont="1" applyFill="1" applyBorder="1"/>
    <xf numFmtId="0" fontId="44" fillId="43" borderId="168" xfId="0" applyFont="1" applyFill="1" applyBorder="1"/>
    <xf numFmtId="0" fontId="44" fillId="43" borderId="169" xfId="0" applyFont="1" applyFill="1" applyBorder="1"/>
    <xf numFmtId="0" fontId="44" fillId="43" borderId="173" xfId="0" applyFont="1" applyFill="1" applyBorder="1"/>
    <xf numFmtId="0" fontId="44" fillId="43" borderId="170" xfId="0" applyFont="1" applyFill="1" applyBorder="1"/>
    <xf numFmtId="0" fontId="44" fillId="43" borderId="171" xfId="0" applyFont="1" applyFill="1" applyBorder="1"/>
    <xf numFmtId="0" fontId="1" fillId="41" borderId="0" xfId="58" applyFont="1" applyFill="1" applyBorder="1" applyAlignment="1">
      <alignment vertical="center" wrapText="1"/>
    </xf>
    <xf numFmtId="169" fontId="1" fillId="41" borderId="0" xfId="58" applyNumberFormat="1" applyFont="1" applyFill="1" applyAlignment="1">
      <alignment vertical="center" wrapText="1"/>
    </xf>
    <xf numFmtId="173" fontId="1" fillId="41" borderId="0" xfId="58" applyNumberFormat="1" applyFont="1" applyFill="1" applyAlignment="1">
      <alignment vertical="center" wrapText="1"/>
    </xf>
    <xf numFmtId="173" fontId="1" fillId="41" borderId="0" xfId="58" applyNumberFormat="1" applyFont="1" applyFill="1" applyAlignment="1">
      <alignment horizontal="center" vertical="center" wrapText="1"/>
    </xf>
    <xf numFmtId="169" fontId="1" fillId="41" borderId="0" xfId="58" applyNumberFormat="1" applyFont="1" applyFill="1" applyBorder="1" applyAlignment="1">
      <alignment vertical="center" wrapText="1"/>
    </xf>
    <xf numFmtId="169" fontId="1" fillId="41" borderId="0" xfId="58" applyNumberFormat="1" applyFont="1" applyFill="1" applyBorder="1" applyAlignment="1">
      <alignment vertical="center"/>
    </xf>
    <xf numFmtId="14" fontId="1" fillId="41" borderId="0" xfId="58" applyNumberFormat="1" applyFont="1" applyFill="1" applyAlignment="1">
      <alignment horizontal="center" vertical="center"/>
    </xf>
    <xf numFmtId="0" fontId="1" fillId="41" borderId="0" xfId="58" applyFont="1" applyFill="1" applyAlignment="1">
      <alignment horizontal="center" vertical="center"/>
    </xf>
    <xf numFmtId="0" fontId="44" fillId="0" borderId="168" xfId="0" applyFont="1" applyFill="1" applyBorder="1" applyAlignment="1">
      <alignment vertical="center"/>
    </xf>
    <xf numFmtId="0" fontId="44" fillId="0" borderId="169" xfId="0" applyFont="1" applyFill="1" applyBorder="1" applyAlignment="1">
      <alignment vertical="center"/>
    </xf>
    <xf numFmtId="174" fontId="92" fillId="41" borderId="0" xfId="60" applyNumberFormat="1" applyFont="1" applyFill="1" applyBorder="1" applyAlignment="1" applyProtection="1">
      <alignment vertical="center" wrapText="1"/>
    </xf>
    <xf numFmtId="0" fontId="42" fillId="41" borderId="0" xfId="58" applyFont="1" applyFill="1" applyBorder="1" applyAlignment="1">
      <alignment vertical="center"/>
    </xf>
    <xf numFmtId="0" fontId="42" fillId="41" borderId="0" xfId="58" applyFont="1" applyFill="1" applyBorder="1" applyAlignment="1">
      <alignment vertical="center" wrapText="1"/>
    </xf>
    <xf numFmtId="168" fontId="56" fillId="0" borderId="74" xfId="38" applyFont="1" applyFill="1" applyBorder="1" applyAlignment="1">
      <alignment vertical="center"/>
    </xf>
    <xf numFmtId="168" fontId="56" fillId="0" borderId="185" xfId="38" applyFont="1" applyFill="1" applyBorder="1" applyAlignment="1">
      <alignment vertical="center"/>
    </xf>
    <xf numFmtId="169" fontId="56" fillId="0" borderId="186" xfId="0" applyNumberFormat="1" applyFont="1" applyFill="1" applyBorder="1" applyAlignment="1">
      <alignment vertical="center"/>
    </xf>
    <xf numFmtId="172" fontId="86" fillId="43" borderId="0" xfId="0" applyNumberFormat="1" applyFont="1" applyFill="1" applyBorder="1" applyAlignment="1">
      <alignment horizontal="center" vertical="center"/>
    </xf>
    <xf numFmtId="0" fontId="49" fillId="53" borderId="26" xfId="0" applyFont="1" applyFill="1" applyBorder="1" applyAlignment="1">
      <alignment horizontal="center" vertical="center"/>
    </xf>
    <xf numFmtId="10" fontId="73" fillId="0" borderId="27" xfId="52" applyNumberFormat="1" applyFont="1" applyBorder="1" applyAlignment="1">
      <alignment horizontal="center" vertical="center"/>
    </xf>
    <xf numFmtId="172" fontId="109" fillId="0" borderId="136" xfId="0" applyNumberFormat="1" applyFont="1" applyBorder="1" applyAlignment="1">
      <alignment horizontal="left" vertical="center"/>
    </xf>
    <xf numFmtId="0" fontId="41" fillId="0" borderId="0" xfId="0" applyFont="1" applyFill="1" applyBorder="1" applyAlignment="1">
      <alignment horizontal="center" vertical="center"/>
    </xf>
    <xf numFmtId="0" fontId="60" fillId="0" borderId="43" xfId="0" applyFont="1" applyFill="1" applyBorder="1" applyAlignment="1">
      <alignment horizontal="center" vertical="center"/>
    </xf>
    <xf numFmtId="0" fontId="0" fillId="0" borderId="33" xfId="0" applyBorder="1"/>
    <xf numFmtId="0" fontId="0" fillId="0" borderId="49" xfId="0" applyBorder="1"/>
    <xf numFmtId="0" fontId="61" fillId="0" borderId="32" xfId="0" applyFont="1" applyBorder="1" applyAlignment="1">
      <alignment horizontal="center" vertical="center"/>
    </xf>
    <xf numFmtId="0" fontId="61" fillId="0" borderId="33" xfId="0" applyFont="1" applyBorder="1" applyAlignment="1">
      <alignment horizontal="center" vertical="center"/>
    </xf>
    <xf numFmtId="0" fontId="61" fillId="0" borderId="98" xfId="0" applyFont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60" fillId="0" borderId="33" xfId="0" applyFont="1" applyFill="1" applyBorder="1" applyAlignment="1">
      <alignment horizontal="center" vertical="center"/>
    </xf>
    <xf numFmtId="0" fontId="60" fillId="0" borderId="49" xfId="0" applyFont="1" applyFill="1" applyBorder="1" applyAlignment="1">
      <alignment horizontal="center" vertical="center"/>
    </xf>
    <xf numFmtId="0" fontId="60" fillId="0" borderId="43" xfId="0" applyFont="1" applyFill="1" applyBorder="1" applyAlignment="1">
      <alignment horizontal="center" vertical="center" wrapText="1"/>
    </xf>
    <xf numFmtId="0" fontId="60" fillId="0" borderId="49" xfId="0" applyFont="1" applyFill="1" applyBorder="1" applyAlignment="1">
      <alignment horizontal="center" vertical="center" wrapText="1"/>
    </xf>
    <xf numFmtId="4" fontId="36" fillId="0" borderId="15" xfId="38" applyNumberFormat="1" applyFont="1" applyFill="1" applyBorder="1" applyAlignment="1">
      <alignment horizontal="center" vertical="center"/>
    </xf>
    <xf numFmtId="4" fontId="36" fillId="0" borderId="14" xfId="38" applyNumberFormat="1" applyFont="1" applyFill="1" applyBorder="1" applyAlignment="1">
      <alignment horizontal="center" vertical="center"/>
    </xf>
    <xf numFmtId="14" fontId="36" fillId="0" borderId="15" xfId="0" applyNumberFormat="1" applyFont="1" applyFill="1" applyBorder="1" applyAlignment="1">
      <alignment horizontal="center" vertical="center"/>
    </xf>
    <xf numFmtId="14" fontId="36" fillId="0" borderId="14" xfId="0" applyNumberFormat="1" applyFont="1" applyFill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6" fontId="36" fillId="0" borderId="15" xfId="0" applyNumberFormat="1" applyFont="1" applyFill="1" applyBorder="1" applyAlignment="1">
      <alignment horizontal="center" vertical="center"/>
    </xf>
    <xf numFmtId="16" fontId="36" fillId="0" borderId="14" xfId="0" applyNumberFormat="1" applyFont="1" applyFill="1" applyBorder="1" applyAlignment="1">
      <alignment horizontal="center" vertical="center"/>
    </xf>
    <xf numFmtId="171" fontId="81" fillId="48" borderId="12" xfId="0" applyNumberFormat="1" applyFont="1" applyFill="1" applyBorder="1" applyAlignment="1">
      <alignment horizontal="center" vertical="center"/>
    </xf>
    <xf numFmtId="171" fontId="81" fillId="48" borderId="11" xfId="0" applyNumberFormat="1" applyFont="1" applyFill="1" applyBorder="1" applyAlignment="1">
      <alignment horizontal="center" vertical="center"/>
    </xf>
    <xf numFmtId="171" fontId="53" fillId="48" borderId="10" xfId="0" applyNumberFormat="1" applyFont="1" applyFill="1" applyBorder="1" applyAlignment="1">
      <alignment horizontal="center" vertical="center"/>
    </xf>
    <xf numFmtId="171" fontId="53" fillId="48" borderId="11" xfId="0" applyNumberFormat="1" applyFont="1" applyFill="1" applyBorder="1" applyAlignment="1">
      <alignment horizontal="center" vertical="center"/>
    </xf>
    <xf numFmtId="164" fontId="42" fillId="48" borderId="10" xfId="38" applyNumberFormat="1" applyFont="1" applyFill="1" applyBorder="1" applyAlignment="1">
      <alignment horizontal="right" vertical="center"/>
    </xf>
    <xf numFmtId="164" fontId="42" fillId="48" borderId="11" xfId="38" applyNumberFormat="1" applyFont="1" applyFill="1" applyBorder="1" applyAlignment="1">
      <alignment horizontal="right" vertical="center"/>
    </xf>
    <xf numFmtId="168" fontId="36" fillId="0" borderId="0" xfId="38" applyFont="1" applyFill="1" applyAlignment="1">
      <alignment horizontal="right" vertical="center"/>
    </xf>
    <xf numFmtId="164" fontId="49" fillId="46" borderId="13" xfId="38" applyNumberFormat="1" applyFont="1" applyFill="1" applyBorder="1" applyAlignment="1">
      <alignment horizontal="center" vertical="center"/>
    </xf>
    <xf numFmtId="164" fontId="38" fillId="48" borderId="10" xfId="38" applyNumberFormat="1" applyFont="1" applyFill="1" applyBorder="1" applyAlignment="1">
      <alignment horizontal="right" vertical="center"/>
    </xf>
    <xf numFmtId="164" fontId="38" fillId="48" borderId="11" xfId="38" applyNumberFormat="1" applyFont="1" applyFill="1" applyBorder="1" applyAlignment="1">
      <alignment horizontal="right" vertical="center"/>
    </xf>
    <xf numFmtId="164" fontId="49" fillId="47" borderId="13" xfId="38" applyNumberFormat="1" applyFont="1" applyFill="1" applyBorder="1" applyAlignment="1">
      <alignment horizontal="center" vertical="center"/>
    </xf>
    <xf numFmtId="164" fontId="49" fillId="47" borderId="15" xfId="38" applyNumberFormat="1" applyFont="1" applyFill="1" applyBorder="1" applyAlignment="1">
      <alignment horizontal="center" vertical="center"/>
    </xf>
    <xf numFmtId="164" fontId="49" fillId="47" borderId="14" xfId="38" applyNumberFormat="1" applyFont="1" applyFill="1" applyBorder="1" applyAlignment="1">
      <alignment horizontal="center" vertical="center"/>
    </xf>
    <xf numFmtId="167" fontId="85" fillId="43" borderId="0" xfId="0" applyNumberFormat="1" applyFont="1" applyFill="1" applyBorder="1" applyAlignment="1">
      <alignment horizontal="center" vertical="center"/>
    </xf>
    <xf numFmtId="169" fontId="49" fillId="43" borderId="149" xfId="38" applyNumberFormat="1" applyFont="1" applyFill="1" applyBorder="1" applyAlignment="1">
      <alignment horizontal="center" vertical="center"/>
    </xf>
    <xf numFmtId="169" fontId="49" fillId="43" borderId="0" xfId="38" applyNumberFormat="1" applyFont="1" applyFill="1" applyBorder="1" applyAlignment="1">
      <alignment horizontal="center" vertical="center"/>
    </xf>
    <xf numFmtId="169" fontId="49" fillId="43" borderId="150" xfId="38" applyNumberFormat="1" applyFont="1" applyFill="1" applyBorder="1" applyAlignment="1">
      <alignment horizontal="center" vertical="center"/>
    </xf>
    <xf numFmtId="167" fontId="88" fillId="43" borderId="151" xfId="38" applyNumberFormat="1" applyFont="1" applyFill="1" applyBorder="1" applyAlignment="1">
      <alignment horizontal="center" vertical="center"/>
    </xf>
    <xf numFmtId="167" fontId="88" fillId="43" borderId="152" xfId="38" applyNumberFormat="1" applyFont="1" applyFill="1" applyBorder="1" applyAlignment="1">
      <alignment horizontal="center" vertical="center"/>
    </xf>
    <xf numFmtId="167" fontId="88" fillId="43" borderId="153" xfId="38" applyNumberFormat="1" applyFont="1" applyFill="1" applyBorder="1" applyAlignment="1">
      <alignment horizontal="center" vertical="center"/>
    </xf>
    <xf numFmtId="167" fontId="100" fillId="43" borderId="151" xfId="38" applyNumberFormat="1" applyFont="1" applyFill="1" applyBorder="1" applyAlignment="1">
      <alignment horizontal="center" vertical="center"/>
    </xf>
    <xf numFmtId="167" fontId="100" fillId="43" borderId="152" xfId="38" applyNumberFormat="1" applyFont="1" applyFill="1" applyBorder="1" applyAlignment="1">
      <alignment horizontal="center" vertical="center"/>
    </xf>
    <xf numFmtId="167" fontId="100" fillId="43" borderId="153" xfId="38" applyNumberFormat="1" applyFont="1" applyFill="1" applyBorder="1" applyAlignment="1">
      <alignment horizontal="center" vertical="center"/>
    </xf>
    <xf numFmtId="0" fontId="98" fillId="43" borderId="141" xfId="0" applyFont="1" applyFill="1" applyBorder="1" applyAlignment="1">
      <alignment horizontal="center" vertical="center"/>
    </xf>
    <xf numFmtId="0" fontId="98" fillId="43" borderId="142" xfId="0" applyFont="1" applyFill="1" applyBorder="1" applyAlignment="1">
      <alignment horizontal="center" vertical="center"/>
    </xf>
    <xf numFmtId="0" fontId="98" fillId="43" borderId="143" xfId="0" applyFont="1" applyFill="1" applyBorder="1" applyAlignment="1">
      <alignment horizontal="center" vertical="center"/>
    </xf>
    <xf numFmtId="0" fontId="98" fillId="43" borderId="144" xfId="0" applyFont="1" applyFill="1" applyBorder="1" applyAlignment="1">
      <alignment horizontal="center" vertical="center"/>
    </xf>
    <xf numFmtId="0" fontId="98" fillId="43" borderId="91" xfId="0" applyFont="1" applyFill="1" applyBorder="1" applyAlignment="1">
      <alignment horizontal="center" vertical="center"/>
    </xf>
    <xf numFmtId="0" fontId="98" fillId="43" borderId="145" xfId="0" applyFont="1" applyFill="1" applyBorder="1" applyAlignment="1">
      <alignment horizontal="center" vertical="center"/>
    </xf>
    <xf numFmtId="0" fontId="98" fillId="43" borderId="146" xfId="0" applyFont="1" applyFill="1" applyBorder="1" applyAlignment="1">
      <alignment horizontal="center" vertical="center"/>
    </xf>
    <xf numFmtId="0" fontId="0" fillId="43" borderId="147" xfId="0" applyFill="1" applyBorder="1"/>
    <xf numFmtId="0" fontId="0" fillId="43" borderId="148" xfId="0" applyFill="1" applyBorder="1"/>
    <xf numFmtId="0" fontId="0" fillId="43" borderId="149" xfId="0" applyFill="1" applyBorder="1"/>
    <xf numFmtId="0" fontId="0" fillId="43" borderId="0" xfId="0" applyFill="1"/>
    <xf numFmtId="0" fontId="0" fillId="43" borderId="150" xfId="0" applyFill="1" applyBorder="1"/>
    <xf numFmtId="169" fontId="85" fillId="43" borderId="0" xfId="0" applyNumberFormat="1" applyFont="1" applyFill="1" applyBorder="1" applyAlignment="1">
      <alignment horizontal="center" vertical="center"/>
    </xf>
    <xf numFmtId="169" fontId="85" fillId="43" borderId="93" xfId="0" applyNumberFormat="1" applyFont="1" applyFill="1" applyBorder="1" applyAlignment="1">
      <alignment horizontal="center" vertical="center"/>
    </xf>
    <xf numFmtId="169" fontId="89" fillId="43" borderId="91" xfId="38" applyNumberFormat="1" applyFont="1" applyFill="1" applyBorder="1" applyAlignment="1">
      <alignment horizontal="left" vertical="center" indent="1"/>
    </xf>
    <xf numFmtId="169" fontId="89" fillId="43" borderId="92" xfId="38" applyNumberFormat="1" applyFont="1" applyFill="1" applyBorder="1" applyAlignment="1">
      <alignment horizontal="left" vertical="center" indent="1"/>
    </xf>
    <xf numFmtId="169" fontId="85" fillId="43" borderId="0" xfId="0" applyNumberFormat="1" applyFont="1" applyFill="1" applyBorder="1" applyAlignment="1">
      <alignment horizontal="left" vertical="center" indent="1"/>
    </xf>
    <xf numFmtId="0" fontId="86" fillId="43" borderId="0" xfId="0" applyFont="1" applyFill="1" applyBorder="1" applyAlignment="1">
      <alignment horizontal="center" vertical="center"/>
    </xf>
    <xf numFmtId="0" fontId="58" fillId="43" borderId="90" xfId="0" applyFont="1" applyFill="1" applyBorder="1" applyAlignment="1">
      <alignment horizontal="center" vertical="center"/>
    </xf>
    <xf numFmtId="0" fontId="58" fillId="43" borderId="91" xfId="0" applyFont="1" applyFill="1" applyBorder="1" applyAlignment="1">
      <alignment horizontal="center" vertical="center"/>
    </xf>
    <xf numFmtId="0" fontId="86" fillId="43" borderId="149" xfId="0" applyFont="1" applyFill="1" applyBorder="1" applyAlignment="1">
      <alignment horizontal="center" vertical="center"/>
    </xf>
    <xf numFmtId="167" fontId="85" fillId="43" borderId="0" xfId="0" applyNumberFormat="1" applyFont="1" applyFill="1" applyBorder="1" applyAlignment="1">
      <alignment horizontal="center"/>
    </xf>
    <xf numFmtId="167" fontId="85" fillId="43" borderId="150" xfId="0" applyNumberFormat="1" applyFont="1" applyFill="1" applyBorder="1" applyAlignment="1">
      <alignment horizontal="center" vertical="center"/>
    </xf>
    <xf numFmtId="0" fontId="76" fillId="42" borderId="113" xfId="0" applyFont="1" applyFill="1" applyBorder="1" applyAlignment="1">
      <alignment horizontal="center" vertical="center"/>
    </xf>
    <xf numFmtId="0" fontId="76" fillId="42" borderId="114" xfId="0" applyFont="1" applyFill="1" applyBorder="1" applyAlignment="1">
      <alignment horizontal="center" vertical="center"/>
    </xf>
    <xf numFmtId="0" fontId="76" fillId="42" borderId="138" xfId="0" applyFont="1" applyFill="1" applyBorder="1" applyAlignment="1">
      <alignment horizontal="center" vertical="center"/>
    </xf>
    <xf numFmtId="0" fontId="76" fillId="42" borderId="139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center" vertical="center"/>
    </xf>
    <xf numFmtId="0" fontId="76" fillId="42" borderId="121" xfId="0" quotePrefix="1" applyFont="1" applyFill="1" applyBorder="1" applyAlignment="1">
      <alignment horizontal="center" vertical="center"/>
    </xf>
    <xf numFmtId="0" fontId="76" fillId="42" borderId="137" xfId="0" quotePrefix="1" applyFont="1" applyFill="1" applyBorder="1" applyAlignment="1">
      <alignment horizontal="center" vertical="center"/>
    </xf>
    <xf numFmtId="0" fontId="78" fillId="42" borderId="113" xfId="0" applyFont="1" applyFill="1" applyBorder="1" applyAlignment="1">
      <alignment horizontal="center" vertical="center"/>
    </xf>
    <xf numFmtId="0" fontId="78" fillId="42" borderId="114" xfId="0" applyFont="1" applyFill="1" applyBorder="1" applyAlignment="1">
      <alignment horizontal="center" vertical="center"/>
    </xf>
    <xf numFmtId="17" fontId="78" fillId="42" borderId="101" xfId="0" applyNumberFormat="1" applyFont="1" applyFill="1" applyBorder="1" applyAlignment="1">
      <alignment horizontal="center" vertical="center"/>
    </xf>
    <xf numFmtId="0" fontId="78" fillId="42" borderId="102" xfId="0" applyFont="1" applyFill="1" applyBorder="1" applyAlignment="1">
      <alignment horizontal="center" vertical="center"/>
    </xf>
    <xf numFmtId="171" fontId="76" fillId="0" borderId="104" xfId="0" applyNumberFormat="1" applyFont="1" applyBorder="1" applyAlignment="1">
      <alignment horizontal="center" vertical="center" textRotation="90" wrapText="1"/>
    </xf>
    <xf numFmtId="171" fontId="76" fillId="0" borderId="105" xfId="0" applyNumberFormat="1" applyFont="1" applyBorder="1" applyAlignment="1">
      <alignment horizontal="center" vertical="center" textRotation="90" wrapText="1"/>
    </xf>
    <xf numFmtId="171" fontId="76" fillId="0" borderId="107" xfId="0" applyNumberFormat="1" applyFont="1" applyBorder="1" applyAlignment="1">
      <alignment horizontal="center" vertical="center" textRotation="90" wrapText="1"/>
    </xf>
    <xf numFmtId="171" fontId="76" fillId="0" borderId="111" xfId="0" applyNumberFormat="1" applyFont="1" applyBorder="1" applyAlignment="1">
      <alignment horizontal="center" vertical="center" textRotation="90" wrapText="1"/>
    </xf>
    <xf numFmtId="167" fontId="105" fillId="41" borderId="48" xfId="59" applyNumberFormat="1" applyFont="1" applyFill="1" applyBorder="1" applyAlignment="1">
      <alignment horizontal="center" vertical="center"/>
    </xf>
    <xf numFmtId="167" fontId="105" fillId="41" borderId="184" xfId="59" applyNumberFormat="1" applyFont="1" applyFill="1" applyBorder="1" applyAlignment="1">
      <alignment horizontal="center" vertical="center"/>
    </xf>
    <xf numFmtId="167" fontId="105" fillId="41" borderId="0" xfId="59" applyNumberFormat="1" applyFont="1" applyFill="1" applyBorder="1" applyAlignment="1">
      <alignment horizontal="center" vertical="center"/>
    </xf>
    <xf numFmtId="167" fontId="105" fillId="41" borderId="95" xfId="59" applyNumberFormat="1" applyFont="1" applyFill="1" applyBorder="1" applyAlignment="1">
      <alignment horizontal="center" vertical="center"/>
    </xf>
    <xf numFmtId="167" fontId="105" fillId="41" borderId="51" xfId="59" applyNumberFormat="1" applyFont="1" applyFill="1" applyBorder="1" applyAlignment="1">
      <alignment horizontal="center" vertical="center"/>
    </xf>
    <xf numFmtId="167" fontId="105" fillId="41" borderId="41" xfId="59" applyNumberFormat="1" applyFont="1" applyFill="1" applyBorder="1" applyAlignment="1">
      <alignment horizontal="center" vertical="center"/>
    </xf>
    <xf numFmtId="0" fontId="103" fillId="41" borderId="0" xfId="60" applyFont="1" applyFill="1" applyBorder="1" applyAlignment="1" applyProtection="1">
      <alignment horizontal="center" vertical="center"/>
    </xf>
    <xf numFmtId="0" fontId="103" fillId="49" borderId="0" xfId="60" applyFont="1" applyFill="1" applyBorder="1" applyAlignment="1" applyProtection="1">
      <alignment horizontal="center" vertical="center"/>
    </xf>
    <xf numFmtId="0" fontId="15" fillId="41" borderId="0" xfId="58" applyFont="1" applyFill="1" applyBorder="1" applyAlignment="1">
      <alignment horizontal="center" vertical="center" wrapText="1"/>
    </xf>
    <xf numFmtId="167" fontId="92" fillId="41" borderId="0" xfId="59" applyNumberFormat="1" applyFont="1" applyFill="1" applyBorder="1" applyAlignment="1">
      <alignment horizontal="center" vertical="center"/>
    </xf>
    <xf numFmtId="0" fontId="42" fillId="41" borderId="0" xfId="58" applyFont="1" applyFill="1" applyBorder="1" applyAlignment="1">
      <alignment horizontal="left" vertical="center" wrapText="1" indent="3"/>
    </xf>
    <xf numFmtId="0" fontId="42" fillId="41" borderId="0" xfId="58" applyFont="1" applyFill="1" applyBorder="1" applyAlignment="1">
      <alignment horizontal="center" vertical="center" wrapText="1"/>
    </xf>
    <xf numFmtId="0" fontId="93" fillId="0" borderId="125" xfId="0" applyFont="1" applyBorder="1" applyAlignment="1">
      <alignment horizontal="center" vertical="center" textRotation="90"/>
    </xf>
    <xf numFmtId="0" fontId="93" fillId="0" borderId="126" xfId="0" applyFont="1" applyBorder="1" applyAlignment="1">
      <alignment horizontal="center" vertical="center" textRotation="90"/>
    </xf>
    <xf numFmtId="0" fontId="93" fillId="0" borderId="127" xfId="0" applyFont="1" applyBorder="1" applyAlignment="1">
      <alignment horizontal="center" vertical="center" textRotation="90"/>
    </xf>
  </cellXfs>
  <cellStyles count="65">
    <cellStyle name="Accent1" xfId="1" xr:uid="{00000000-0005-0000-0000-000000000000}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xr:uid="{00000000-0005-0000-0000-000004000000}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xr:uid="{00000000-0005-0000-0000-000008000000}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xr:uid="{00000000-0005-0000-0000-00000C000000}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xr:uid="{00000000-0005-0000-0000-000010000000}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xr:uid="{00000000-0005-0000-0000-000014000000}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xr:uid="{00000000-0005-0000-0000-000018000000}"/>
    <cellStyle name="Bom" xfId="45" builtinId="26" hidden="1"/>
    <cellStyle name="Calculation" xfId="26" xr:uid="{00000000-0005-0000-0000-00001A000000}"/>
    <cellStyle name="Célula de Verificação" xfId="49" builtinId="23" hidden="1"/>
    <cellStyle name="Célula Vinculada" xfId="48" builtinId="24" hidden="1"/>
    <cellStyle name="Check Cell" xfId="27" xr:uid="{00000000-0005-0000-0000-00001D000000}"/>
    <cellStyle name="Emphasis 1" xfId="28" xr:uid="{00000000-0005-0000-0000-00001E000000}"/>
    <cellStyle name="Emphasis 2" xfId="29" xr:uid="{00000000-0005-0000-0000-00001F000000}"/>
    <cellStyle name="Emphasis 3" xfId="30" xr:uid="{00000000-0005-0000-0000-000020000000}"/>
    <cellStyle name="Entrada" xfId="47" builtinId="20" hidden="1"/>
    <cellStyle name="Good" xfId="31" xr:uid="{00000000-0005-0000-0000-000022000000}"/>
    <cellStyle name="Heading 1" xfId="32" xr:uid="{00000000-0005-0000-0000-000023000000}"/>
    <cellStyle name="Heading 2" xfId="33" xr:uid="{00000000-0005-0000-0000-000024000000}"/>
    <cellStyle name="Heading 3" xfId="34" xr:uid="{00000000-0005-0000-0000-000025000000}"/>
    <cellStyle name="Heading 4" xfId="35" xr:uid="{00000000-0005-0000-0000-000026000000}"/>
    <cellStyle name="Hiperlink" xfId="53" builtinId="8"/>
    <cellStyle name="Input" xfId="36" xr:uid="{00000000-0005-0000-0000-000028000000}"/>
    <cellStyle name="Linked Cell" xfId="37" xr:uid="{00000000-0005-0000-0000-000029000000}"/>
    <cellStyle name="Moeda" xfId="38" builtinId="4"/>
    <cellStyle name="Moeda 2" xfId="56" xr:uid="{00000000-0005-0000-0000-00002B000000}"/>
    <cellStyle name="Moeda 3" xfId="59" xr:uid="{00000000-0005-0000-0000-00002C000000}"/>
    <cellStyle name="Moeda 3 2" xfId="61" xr:uid="{00000000-0005-0000-0000-00002D000000}"/>
    <cellStyle name="Moeda 4" xfId="63" xr:uid="{00000000-0005-0000-0000-00002E000000}"/>
    <cellStyle name="Neutral" xfId="39" xr:uid="{00000000-0005-0000-0000-000030000000}"/>
    <cellStyle name="Neutro" xfId="46" builtinId="28" hidden="1"/>
    <cellStyle name="Normal" xfId="0" builtinId="0"/>
    <cellStyle name="Normal 2" xfId="54" xr:uid="{00000000-0005-0000-0000-000032000000}"/>
    <cellStyle name="Normal 3" xfId="55" xr:uid="{00000000-0005-0000-0000-000033000000}"/>
    <cellStyle name="Normal 4" xfId="57" xr:uid="{00000000-0005-0000-0000-000034000000}"/>
    <cellStyle name="Normal 5" xfId="58" xr:uid="{00000000-0005-0000-0000-000035000000}"/>
    <cellStyle name="Normal 5 2" xfId="60" xr:uid="{00000000-0005-0000-0000-000036000000}"/>
    <cellStyle name="Normal 6" xfId="62" xr:uid="{00000000-0005-0000-0000-000037000000}"/>
    <cellStyle name="Normal 7" xfId="64" xr:uid="{00000000-0005-0000-0000-000038000000}"/>
    <cellStyle name="Nota" xfId="51" builtinId="10" hidden="1"/>
    <cellStyle name="Note" xfId="40" xr:uid="{00000000-0005-0000-0000-00003A000000}"/>
    <cellStyle name="Output" xfId="41" xr:uid="{00000000-0005-0000-0000-00003B000000}"/>
    <cellStyle name="Porcentagem" xfId="52" builtinId="5"/>
    <cellStyle name="Sheet Title" xfId="42" xr:uid="{00000000-0005-0000-0000-00003D000000}"/>
    <cellStyle name="Texto de Aviso" xfId="50" builtinId="11" hidden="1"/>
    <cellStyle name="Total" xfId="43" builtinId="25" customBuiltin="1"/>
    <cellStyle name="Warning Text" xfId="44" xr:uid="{00000000-0005-0000-0000-000040000000}"/>
  </cellStyles>
  <dxfs count="38"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theme="1"/>
      </font>
      <fill>
        <patternFill patternType="solid">
          <bgColor theme="0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theme="1"/>
      </font>
      <fill>
        <patternFill patternType="solid">
          <bgColor theme="0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theme="1"/>
      </font>
      <fill>
        <patternFill patternType="solid"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theme="1"/>
      </font>
      <fill>
        <patternFill patternType="solid">
          <bgColor theme="0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theme="1"/>
      </font>
      <fill>
        <patternFill patternType="solid"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ont>
        <b/>
        <i val="0"/>
        <color theme="1"/>
      </font>
      <fill>
        <patternFill patternType="solid">
          <bgColor theme="0"/>
        </patternFill>
      </fill>
    </dxf>
    <dxf>
      <font>
        <b/>
        <i val="0"/>
        <color rgb="FF0000FF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 patternType="solid">
          <fgColor auto="1"/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6600"/>
      <color rgb="FF0000FF"/>
      <color rgb="FFFF0000"/>
      <color rgb="FFFF774A"/>
      <color rgb="FFF66054"/>
      <color rgb="FF66FF33"/>
      <color rgb="FFFF0066"/>
      <color rgb="FFD60093"/>
      <color rgb="FFCC3300"/>
      <color rgb="FF4F13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  <c:pivotFmt>
        <c:idx val="243"/>
        <c:marker>
          <c:symbol val="none"/>
        </c:marker>
      </c:pivotFmt>
      <c:pivotFmt>
        <c:idx val="244"/>
        <c:marker>
          <c:symbol val="none"/>
        </c:marker>
      </c:pivotFmt>
      <c:pivotFmt>
        <c:idx val="245"/>
        <c:marker>
          <c:symbol val="none"/>
        </c:marker>
      </c:pivotFmt>
      <c:pivotFmt>
        <c:idx val="246"/>
        <c:marker>
          <c:symbol val="none"/>
        </c:marker>
      </c:pivotFmt>
      <c:pivotFmt>
        <c:idx val="247"/>
        <c:marker>
          <c:symbol val="none"/>
        </c:marker>
      </c:pivotFmt>
      <c:pivotFmt>
        <c:idx val="248"/>
        <c:marker>
          <c:symbol val="none"/>
        </c:marker>
      </c:pivotFmt>
      <c:pivotFmt>
        <c:idx val="249"/>
        <c:marker>
          <c:symbol val="none"/>
        </c:marker>
      </c:pivotFmt>
      <c:pivotFmt>
        <c:idx val="250"/>
        <c:marker>
          <c:symbol val="none"/>
        </c:marker>
      </c:pivotFmt>
      <c:pivotFmt>
        <c:idx val="251"/>
        <c:marker>
          <c:symbol val="none"/>
        </c:marker>
      </c:pivotFmt>
      <c:pivotFmt>
        <c:idx val="252"/>
        <c:marker>
          <c:symbol val="none"/>
        </c:marker>
      </c:pivotFmt>
      <c:pivotFmt>
        <c:idx val="253"/>
        <c:marker>
          <c:symbol val="none"/>
        </c:marker>
      </c:pivotFmt>
      <c:pivotFmt>
        <c:idx val="254"/>
        <c:marker>
          <c:symbol val="none"/>
        </c:marker>
      </c:pivotFmt>
      <c:pivotFmt>
        <c:idx val="255"/>
        <c:marker>
          <c:symbol val="none"/>
        </c:marker>
      </c:pivotFmt>
      <c:pivotFmt>
        <c:idx val="256"/>
        <c:marker>
          <c:symbol val="none"/>
        </c:marker>
      </c:pivotFmt>
      <c:pivotFmt>
        <c:idx val="257"/>
        <c:marker>
          <c:symbol val="none"/>
        </c:marker>
      </c:pivotFmt>
      <c:pivotFmt>
        <c:idx val="258"/>
        <c:marker>
          <c:symbol val="none"/>
        </c:marker>
      </c:pivotFmt>
      <c:pivotFmt>
        <c:idx val="259"/>
        <c:marker>
          <c:symbol val="none"/>
        </c:marker>
      </c:pivotFmt>
      <c:pivotFmt>
        <c:idx val="260"/>
        <c:marker>
          <c:symbol val="none"/>
        </c:marker>
      </c:pivotFmt>
      <c:pivotFmt>
        <c:idx val="261"/>
        <c:marker>
          <c:symbol val="none"/>
        </c:marker>
      </c:pivotFmt>
      <c:pivotFmt>
        <c:idx val="262"/>
        <c:marker>
          <c:symbol val="none"/>
        </c:marker>
      </c:pivotFmt>
      <c:pivotFmt>
        <c:idx val="263"/>
        <c:marker>
          <c:symbol val="none"/>
        </c:marker>
      </c:pivotFmt>
      <c:pivotFmt>
        <c:idx val="264"/>
        <c:marker>
          <c:symbol val="none"/>
        </c:marker>
      </c:pivotFmt>
      <c:pivotFmt>
        <c:idx val="265"/>
        <c:marker>
          <c:symbol val="none"/>
        </c:marker>
      </c:pivotFmt>
      <c:pivotFmt>
        <c:idx val="266"/>
        <c:marker>
          <c:symbol val="none"/>
        </c:marker>
      </c:pivotFmt>
      <c:pivotFmt>
        <c:idx val="267"/>
        <c:marker>
          <c:symbol val="none"/>
        </c:marker>
      </c:pivotFmt>
      <c:pivotFmt>
        <c:idx val="268"/>
        <c:marker>
          <c:symbol val="none"/>
        </c:marker>
      </c:pivotFmt>
      <c:pivotFmt>
        <c:idx val="269"/>
        <c:marker>
          <c:symbol val="none"/>
        </c:marker>
      </c:pivotFmt>
      <c:pivotFmt>
        <c:idx val="270"/>
        <c:marker>
          <c:symbol val="none"/>
        </c:marker>
      </c:pivotFmt>
      <c:pivotFmt>
        <c:idx val="271"/>
        <c:marker>
          <c:symbol val="none"/>
        </c:marker>
      </c:pivotFmt>
      <c:pivotFmt>
        <c:idx val="272"/>
        <c:marker>
          <c:symbol val="none"/>
        </c:marker>
      </c:pivotFmt>
      <c:pivotFmt>
        <c:idx val="273"/>
        <c:marker>
          <c:symbol val="none"/>
        </c:marker>
      </c:pivotFmt>
      <c:pivotFmt>
        <c:idx val="274"/>
        <c:marker>
          <c:symbol val="none"/>
        </c:marker>
      </c:pivotFmt>
      <c:pivotFmt>
        <c:idx val="275"/>
        <c:marker>
          <c:symbol val="none"/>
        </c:marker>
      </c:pivotFmt>
      <c:pivotFmt>
        <c:idx val="276"/>
        <c:marker>
          <c:symbol val="none"/>
        </c:marker>
      </c:pivotFmt>
      <c:pivotFmt>
        <c:idx val="277"/>
        <c:marker>
          <c:symbol val="none"/>
        </c:marker>
      </c:pivotFmt>
      <c:pivotFmt>
        <c:idx val="278"/>
        <c:marker>
          <c:symbol val="none"/>
        </c:marker>
      </c:pivotFmt>
      <c:pivotFmt>
        <c:idx val="279"/>
        <c:marker>
          <c:symbol val="none"/>
        </c:marker>
      </c:pivotFmt>
      <c:pivotFmt>
        <c:idx val="280"/>
        <c:marker>
          <c:symbol val="none"/>
        </c:marker>
      </c:pivotFmt>
      <c:pivotFmt>
        <c:idx val="281"/>
        <c:marker>
          <c:symbol val="none"/>
        </c:marker>
      </c:pivotFmt>
      <c:pivotFmt>
        <c:idx val="282"/>
        <c:marker>
          <c:symbol val="none"/>
        </c:marker>
      </c:pivotFmt>
      <c:pivotFmt>
        <c:idx val="283"/>
        <c:marker>
          <c:symbol val="none"/>
        </c:marker>
      </c:pivotFmt>
      <c:pivotFmt>
        <c:idx val="284"/>
        <c:marker>
          <c:symbol val="none"/>
        </c:marker>
      </c:pivotFmt>
      <c:pivotFmt>
        <c:idx val="285"/>
        <c:marker>
          <c:symbol val="none"/>
        </c:marker>
      </c:pivotFmt>
      <c:pivotFmt>
        <c:idx val="286"/>
        <c:marker>
          <c:symbol val="none"/>
        </c:marker>
      </c:pivotFmt>
      <c:pivotFmt>
        <c:idx val="287"/>
        <c:marker>
          <c:symbol val="none"/>
        </c:marker>
      </c:pivotFmt>
      <c:pivotFmt>
        <c:idx val="288"/>
        <c:marker>
          <c:symbol val="none"/>
        </c:marker>
      </c:pivotFmt>
      <c:pivotFmt>
        <c:idx val="289"/>
        <c:marker>
          <c:symbol val="none"/>
        </c:marker>
      </c:pivotFmt>
      <c:pivotFmt>
        <c:idx val="290"/>
        <c:marker>
          <c:symbol val="none"/>
        </c:marker>
      </c:pivotFmt>
      <c:pivotFmt>
        <c:idx val="291"/>
        <c:marker>
          <c:symbol val="none"/>
        </c:marker>
      </c:pivotFmt>
      <c:pivotFmt>
        <c:idx val="292"/>
        <c:marker>
          <c:symbol val="none"/>
        </c:marker>
      </c:pivotFmt>
      <c:pivotFmt>
        <c:idx val="293"/>
        <c:marker>
          <c:symbol val="none"/>
        </c:marker>
      </c:pivotFmt>
      <c:pivotFmt>
        <c:idx val="294"/>
        <c:marker>
          <c:symbol val="none"/>
        </c:marker>
      </c:pivotFmt>
      <c:pivotFmt>
        <c:idx val="295"/>
        <c:marker>
          <c:symbol val="none"/>
        </c:marker>
      </c:pivotFmt>
      <c:pivotFmt>
        <c:idx val="296"/>
        <c:marker>
          <c:symbol val="none"/>
        </c:marker>
      </c:pivotFmt>
      <c:pivotFmt>
        <c:idx val="297"/>
        <c:marker>
          <c:symbol val="none"/>
        </c:marker>
      </c:pivotFmt>
      <c:pivotFmt>
        <c:idx val="298"/>
        <c:marker>
          <c:symbol val="none"/>
        </c:marker>
      </c:pivotFmt>
      <c:pivotFmt>
        <c:idx val="299"/>
        <c:marker>
          <c:symbol val="none"/>
        </c:marker>
      </c:pivotFmt>
      <c:pivotFmt>
        <c:idx val="300"/>
        <c:marker>
          <c:symbol val="none"/>
        </c:marker>
      </c:pivotFmt>
      <c:pivotFmt>
        <c:idx val="301"/>
        <c:marker>
          <c:symbol val="none"/>
        </c:marker>
      </c:pivotFmt>
      <c:pivotFmt>
        <c:idx val="302"/>
        <c:marker>
          <c:symbol val="none"/>
        </c:marker>
      </c:pivotFmt>
      <c:pivotFmt>
        <c:idx val="303"/>
        <c:marker>
          <c:symbol val="none"/>
        </c:marker>
      </c:pivotFmt>
      <c:pivotFmt>
        <c:idx val="304"/>
        <c:marker>
          <c:symbol val="none"/>
        </c:marker>
      </c:pivotFmt>
      <c:pivotFmt>
        <c:idx val="305"/>
        <c:marker>
          <c:symbol val="none"/>
        </c:marker>
      </c:pivotFmt>
      <c:pivotFmt>
        <c:idx val="306"/>
        <c:marker>
          <c:symbol val="none"/>
        </c:marker>
      </c:pivotFmt>
      <c:pivotFmt>
        <c:idx val="307"/>
        <c:marker>
          <c:symbol val="none"/>
        </c:marker>
      </c:pivotFmt>
      <c:pivotFmt>
        <c:idx val="308"/>
        <c:marker>
          <c:symbol val="none"/>
        </c:marker>
      </c:pivotFmt>
      <c:pivotFmt>
        <c:idx val="309"/>
        <c:marker>
          <c:symbol val="none"/>
        </c:marker>
      </c:pivotFmt>
      <c:pivotFmt>
        <c:idx val="310"/>
        <c:marker>
          <c:symbol val="none"/>
        </c:marker>
      </c:pivotFmt>
      <c:pivotFmt>
        <c:idx val="311"/>
        <c:marker>
          <c:symbol val="none"/>
        </c:marker>
      </c:pivotFmt>
      <c:pivotFmt>
        <c:idx val="312"/>
        <c:marker>
          <c:symbol val="none"/>
        </c:marker>
      </c:pivotFmt>
      <c:pivotFmt>
        <c:idx val="313"/>
        <c:marker>
          <c:symbol val="none"/>
        </c:marker>
      </c:pivotFmt>
      <c:pivotFmt>
        <c:idx val="314"/>
        <c:marker>
          <c:symbol val="none"/>
        </c:marker>
      </c:pivotFmt>
      <c:pivotFmt>
        <c:idx val="315"/>
        <c:marker>
          <c:symbol val="none"/>
        </c:marker>
      </c:pivotFmt>
      <c:pivotFmt>
        <c:idx val="316"/>
        <c:marker>
          <c:symbol val="none"/>
        </c:marker>
      </c:pivotFmt>
      <c:pivotFmt>
        <c:idx val="317"/>
        <c:marker>
          <c:symbol val="none"/>
        </c:marker>
      </c:pivotFmt>
      <c:pivotFmt>
        <c:idx val="318"/>
        <c:marker>
          <c:symbol val="none"/>
        </c:marker>
      </c:pivotFmt>
      <c:pivotFmt>
        <c:idx val="319"/>
        <c:marker>
          <c:symbol val="none"/>
        </c:marker>
      </c:pivotFmt>
      <c:pivotFmt>
        <c:idx val="320"/>
        <c:marker>
          <c:symbol val="none"/>
        </c:marker>
      </c:pivotFmt>
      <c:pivotFmt>
        <c:idx val="321"/>
        <c:marker>
          <c:symbol val="none"/>
        </c:marker>
      </c:pivotFmt>
      <c:pivotFmt>
        <c:idx val="322"/>
        <c:marker>
          <c:symbol val="none"/>
        </c:marker>
      </c:pivotFmt>
      <c:pivotFmt>
        <c:idx val="323"/>
        <c:marker>
          <c:symbol val="none"/>
        </c:marker>
      </c:pivotFmt>
      <c:pivotFmt>
        <c:idx val="324"/>
        <c:marker>
          <c:symbol val="none"/>
        </c:marker>
      </c:pivotFmt>
      <c:pivotFmt>
        <c:idx val="325"/>
        <c:marker>
          <c:symbol val="none"/>
        </c:marker>
      </c:pivotFmt>
      <c:pivotFmt>
        <c:idx val="326"/>
        <c:marker>
          <c:symbol val="none"/>
        </c:marker>
      </c:pivotFmt>
      <c:pivotFmt>
        <c:idx val="327"/>
        <c:marker>
          <c:symbol val="none"/>
        </c:marker>
      </c:pivotFmt>
      <c:pivotFmt>
        <c:idx val="328"/>
        <c:marker>
          <c:symbol val="none"/>
        </c:marker>
      </c:pivotFmt>
      <c:pivotFmt>
        <c:idx val="329"/>
        <c:marker>
          <c:symbol val="none"/>
        </c:marker>
      </c:pivotFmt>
      <c:pivotFmt>
        <c:idx val="330"/>
        <c:marker>
          <c:symbol val="none"/>
        </c:marker>
      </c:pivotFmt>
      <c:pivotFmt>
        <c:idx val="331"/>
        <c:marker>
          <c:symbol val="none"/>
        </c:marker>
      </c:pivotFmt>
      <c:pivotFmt>
        <c:idx val="332"/>
        <c:marker>
          <c:symbol val="none"/>
        </c:marker>
      </c:pivotFmt>
      <c:pivotFmt>
        <c:idx val="333"/>
        <c:marker>
          <c:symbol val="none"/>
        </c:marker>
      </c:pivotFmt>
      <c:pivotFmt>
        <c:idx val="334"/>
        <c:marker>
          <c:symbol val="none"/>
        </c:marker>
      </c:pivotFmt>
      <c:pivotFmt>
        <c:idx val="335"/>
        <c:marker>
          <c:symbol val="none"/>
        </c:marker>
      </c:pivotFmt>
      <c:pivotFmt>
        <c:idx val="336"/>
        <c:marker>
          <c:symbol val="none"/>
        </c:marker>
      </c:pivotFmt>
      <c:pivotFmt>
        <c:idx val="337"/>
        <c:marker>
          <c:symbol val="none"/>
        </c:marker>
      </c:pivotFmt>
      <c:pivotFmt>
        <c:idx val="338"/>
        <c:marker>
          <c:symbol val="none"/>
        </c:marker>
      </c:pivotFmt>
      <c:pivotFmt>
        <c:idx val="339"/>
        <c:marker>
          <c:symbol val="none"/>
        </c:marker>
      </c:pivotFmt>
      <c:pivotFmt>
        <c:idx val="340"/>
        <c:marker>
          <c:symbol val="none"/>
        </c:marker>
      </c:pivotFmt>
      <c:pivotFmt>
        <c:idx val="341"/>
        <c:marker>
          <c:symbol val="none"/>
        </c:marker>
      </c:pivotFmt>
      <c:pivotFmt>
        <c:idx val="342"/>
        <c:marker>
          <c:symbol val="none"/>
        </c:marker>
      </c:pivotFmt>
      <c:pivotFmt>
        <c:idx val="343"/>
        <c:marker>
          <c:symbol val="none"/>
        </c:marker>
      </c:pivotFmt>
      <c:pivotFmt>
        <c:idx val="344"/>
        <c:marker>
          <c:symbol val="none"/>
        </c:marker>
      </c:pivotFmt>
      <c:pivotFmt>
        <c:idx val="345"/>
        <c:marker>
          <c:symbol val="none"/>
        </c:marker>
      </c:pivotFmt>
      <c:pivotFmt>
        <c:idx val="346"/>
        <c:marker>
          <c:symbol val="none"/>
        </c:marker>
      </c:pivotFmt>
      <c:pivotFmt>
        <c:idx val="347"/>
        <c:marker>
          <c:symbol val="none"/>
        </c:marker>
      </c:pivotFmt>
      <c:pivotFmt>
        <c:idx val="348"/>
        <c:marker>
          <c:symbol val="none"/>
        </c:marker>
      </c:pivotFmt>
      <c:pivotFmt>
        <c:idx val="349"/>
        <c:marker>
          <c:symbol val="none"/>
        </c:marker>
      </c:pivotFmt>
      <c:pivotFmt>
        <c:idx val="350"/>
        <c:marker>
          <c:symbol val="none"/>
        </c:marker>
      </c:pivotFmt>
      <c:pivotFmt>
        <c:idx val="351"/>
        <c:marker>
          <c:symbol val="none"/>
        </c:marker>
      </c:pivotFmt>
      <c:pivotFmt>
        <c:idx val="352"/>
        <c:marker>
          <c:symbol val="none"/>
        </c:marker>
      </c:pivotFmt>
      <c:pivotFmt>
        <c:idx val="353"/>
        <c:marker>
          <c:symbol val="none"/>
        </c:marker>
      </c:pivotFmt>
      <c:pivotFmt>
        <c:idx val="354"/>
        <c:marker>
          <c:symbol val="none"/>
        </c:marker>
      </c:pivotFmt>
      <c:pivotFmt>
        <c:idx val="355"/>
        <c:marker>
          <c:symbol val="none"/>
        </c:marker>
      </c:pivotFmt>
      <c:pivotFmt>
        <c:idx val="356"/>
        <c:marker>
          <c:symbol val="none"/>
        </c:marker>
      </c:pivotFmt>
      <c:pivotFmt>
        <c:idx val="357"/>
        <c:marker>
          <c:symbol val="none"/>
        </c:marker>
      </c:pivotFmt>
      <c:pivotFmt>
        <c:idx val="358"/>
        <c:marker>
          <c:symbol val="none"/>
        </c:marker>
      </c:pivotFmt>
      <c:pivotFmt>
        <c:idx val="359"/>
        <c:marker>
          <c:symbol val="none"/>
        </c:marker>
      </c:pivotFmt>
      <c:pivotFmt>
        <c:idx val="360"/>
        <c:marker>
          <c:symbol val="none"/>
        </c:marker>
      </c:pivotFmt>
      <c:pivotFmt>
        <c:idx val="361"/>
        <c:marker>
          <c:symbol val="none"/>
        </c:marker>
      </c:pivotFmt>
      <c:pivotFmt>
        <c:idx val="362"/>
        <c:marker>
          <c:symbol val="none"/>
        </c:marker>
      </c:pivotFmt>
      <c:pivotFmt>
        <c:idx val="363"/>
        <c:marker>
          <c:symbol val="none"/>
        </c:marker>
      </c:pivotFmt>
      <c:pivotFmt>
        <c:idx val="364"/>
        <c:marker>
          <c:symbol val="none"/>
        </c:marker>
      </c:pivotFmt>
      <c:pivotFmt>
        <c:idx val="365"/>
        <c:marker>
          <c:symbol val="none"/>
        </c:marker>
      </c:pivotFmt>
      <c:pivotFmt>
        <c:idx val="366"/>
        <c:marker>
          <c:symbol val="none"/>
        </c:marker>
      </c:pivotFmt>
      <c:pivotFmt>
        <c:idx val="367"/>
        <c:marker>
          <c:symbol val="none"/>
        </c:marker>
      </c:pivotFmt>
      <c:pivotFmt>
        <c:idx val="368"/>
        <c:marker>
          <c:symbol val="none"/>
        </c:marker>
      </c:pivotFmt>
      <c:pivotFmt>
        <c:idx val="369"/>
        <c:marker>
          <c:symbol val="none"/>
        </c:marker>
      </c:pivotFmt>
      <c:pivotFmt>
        <c:idx val="370"/>
        <c:marker>
          <c:symbol val="none"/>
        </c:marker>
      </c:pivotFmt>
      <c:pivotFmt>
        <c:idx val="371"/>
        <c:marker>
          <c:symbol val="none"/>
        </c:marker>
      </c:pivotFmt>
      <c:pivotFmt>
        <c:idx val="372"/>
        <c:marker>
          <c:symbol val="none"/>
        </c:marker>
      </c:pivotFmt>
      <c:pivotFmt>
        <c:idx val="373"/>
        <c:marker>
          <c:symbol val="none"/>
        </c:marker>
      </c:pivotFmt>
      <c:pivotFmt>
        <c:idx val="374"/>
        <c:marker>
          <c:symbol val="none"/>
        </c:marker>
      </c:pivotFmt>
      <c:pivotFmt>
        <c:idx val="375"/>
        <c:marker>
          <c:symbol val="none"/>
        </c:marker>
      </c:pivotFmt>
      <c:pivotFmt>
        <c:idx val="376"/>
        <c:marker>
          <c:symbol val="none"/>
        </c:marker>
      </c:pivotFmt>
      <c:pivotFmt>
        <c:idx val="377"/>
        <c:marker>
          <c:symbol val="none"/>
        </c:marker>
      </c:pivotFmt>
      <c:pivotFmt>
        <c:idx val="378"/>
        <c:marker>
          <c:symbol val="none"/>
        </c:marker>
      </c:pivotFmt>
      <c:pivotFmt>
        <c:idx val="379"/>
        <c:marker>
          <c:symbol val="none"/>
        </c:marker>
      </c:pivotFmt>
      <c:pivotFmt>
        <c:idx val="380"/>
        <c:marker>
          <c:symbol val="none"/>
        </c:marker>
      </c:pivotFmt>
      <c:pivotFmt>
        <c:idx val="381"/>
        <c:marker>
          <c:symbol val="none"/>
        </c:marker>
      </c:pivotFmt>
      <c:pivotFmt>
        <c:idx val="382"/>
        <c:marker>
          <c:symbol val="none"/>
        </c:marker>
      </c:pivotFmt>
      <c:pivotFmt>
        <c:idx val="383"/>
        <c:marker>
          <c:symbol val="none"/>
        </c:marker>
      </c:pivotFmt>
      <c:pivotFmt>
        <c:idx val="384"/>
        <c:marker>
          <c:symbol val="none"/>
        </c:marker>
      </c:pivotFmt>
      <c:pivotFmt>
        <c:idx val="385"/>
        <c:marker>
          <c:symbol val="none"/>
        </c:marker>
      </c:pivotFmt>
      <c:pivotFmt>
        <c:idx val="386"/>
        <c:marker>
          <c:symbol val="none"/>
        </c:marker>
      </c:pivotFmt>
      <c:pivotFmt>
        <c:idx val="387"/>
        <c:marker>
          <c:symbol val="none"/>
        </c:marker>
      </c:pivotFmt>
      <c:pivotFmt>
        <c:idx val="388"/>
        <c:marker>
          <c:symbol val="none"/>
        </c:marker>
      </c:pivotFmt>
      <c:pivotFmt>
        <c:idx val="389"/>
        <c:marker>
          <c:symbol val="none"/>
        </c:marker>
      </c:pivotFmt>
      <c:pivotFmt>
        <c:idx val="390"/>
        <c:marker>
          <c:symbol val="none"/>
        </c:marker>
      </c:pivotFmt>
      <c:pivotFmt>
        <c:idx val="391"/>
        <c:marker>
          <c:symbol val="none"/>
        </c:marker>
      </c:pivotFmt>
      <c:pivotFmt>
        <c:idx val="392"/>
        <c:marker>
          <c:symbol val="none"/>
        </c:marker>
      </c:pivotFmt>
      <c:pivotFmt>
        <c:idx val="393"/>
        <c:marker>
          <c:symbol val="none"/>
        </c:marker>
      </c:pivotFmt>
      <c:pivotFmt>
        <c:idx val="394"/>
        <c:marker>
          <c:symbol val="none"/>
        </c:marker>
      </c:pivotFmt>
      <c:pivotFmt>
        <c:idx val="395"/>
        <c:marker>
          <c:symbol val="none"/>
        </c:marker>
      </c:pivotFmt>
      <c:pivotFmt>
        <c:idx val="396"/>
        <c:marker>
          <c:symbol val="none"/>
        </c:marker>
      </c:pivotFmt>
      <c:pivotFmt>
        <c:idx val="397"/>
        <c:marker>
          <c:symbol val="none"/>
        </c:marker>
      </c:pivotFmt>
      <c:pivotFmt>
        <c:idx val="398"/>
        <c:marker>
          <c:symbol val="none"/>
        </c:marker>
      </c:pivotFmt>
      <c:pivotFmt>
        <c:idx val="399"/>
        <c:marker>
          <c:symbol val="none"/>
        </c:marker>
      </c:pivotFmt>
      <c:pivotFmt>
        <c:idx val="400"/>
        <c:marker>
          <c:symbol val="none"/>
        </c:marker>
      </c:pivotFmt>
      <c:pivotFmt>
        <c:idx val="401"/>
        <c:marker>
          <c:symbol val="none"/>
        </c:marker>
      </c:pivotFmt>
      <c:pivotFmt>
        <c:idx val="402"/>
        <c:marker>
          <c:symbol val="none"/>
        </c:marker>
      </c:pivotFmt>
      <c:pivotFmt>
        <c:idx val="403"/>
        <c:marker>
          <c:symbol val="none"/>
        </c:marker>
      </c:pivotFmt>
      <c:pivotFmt>
        <c:idx val="404"/>
        <c:marker>
          <c:symbol val="none"/>
        </c:marker>
      </c:pivotFmt>
      <c:pivotFmt>
        <c:idx val="405"/>
        <c:marker>
          <c:symbol val="none"/>
        </c:marker>
      </c:pivotFmt>
      <c:pivotFmt>
        <c:idx val="406"/>
        <c:marker>
          <c:symbol val="none"/>
        </c:marker>
      </c:pivotFmt>
      <c:pivotFmt>
        <c:idx val="407"/>
        <c:marker>
          <c:symbol val="none"/>
        </c:marker>
      </c:pivotFmt>
      <c:pivotFmt>
        <c:idx val="408"/>
        <c:marker>
          <c:symbol val="none"/>
        </c:marker>
      </c:pivotFmt>
      <c:pivotFmt>
        <c:idx val="409"/>
        <c:marker>
          <c:symbol val="none"/>
        </c:marker>
      </c:pivotFmt>
      <c:pivotFmt>
        <c:idx val="410"/>
        <c:marker>
          <c:symbol val="none"/>
        </c:marker>
      </c:pivotFmt>
      <c:pivotFmt>
        <c:idx val="411"/>
        <c:marker>
          <c:symbol val="none"/>
        </c:marker>
      </c:pivotFmt>
      <c:pivotFmt>
        <c:idx val="412"/>
        <c:marker>
          <c:symbol val="none"/>
        </c:marker>
      </c:pivotFmt>
      <c:pivotFmt>
        <c:idx val="413"/>
        <c:marker>
          <c:symbol val="none"/>
        </c:marker>
      </c:pivotFmt>
      <c:pivotFmt>
        <c:idx val="414"/>
        <c:marker>
          <c:symbol val="none"/>
        </c:marker>
      </c:pivotFmt>
      <c:pivotFmt>
        <c:idx val="415"/>
        <c:marker>
          <c:symbol val="none"/>
        </c:marker>
      </c:pivotFmt>
      <c:pivotFmt>
        <c:idx val="416"/>
        <c:marker>
          <c:symbol val="none"/>
        </c:marker>
      </c:pivotFmt>
      <c:pivotFmt>
        <c:idx val="417"/>
        <c:marker>
          <c:symbol val="none"/>
        </c:marker>
      </c:pivotFmt>
      <c:pivotFmt>
        <c:idx val="418"/>
        <c:marker>
          <c:symbol val="none"/>
        </c:marker>
      </c:pivotFmt>
      <c:pivotFmt>
        <c:idx val="419"/>
        <c:marker>
          <c:symbol val="none"/>
        </c:marker>
      </c:pivotFmt>
      <c:pivotFmt>
        <c:idx val="420"/>
        <c:marker>
          <c:symbol val="none"/>
        </c:marker>
      </c:pivotFmt>
      <c:pivotFmt>
        <c:idx val="421"/>
        <c:marker>
          <c:symbol val="none"/>
        </c:marker>
      </c:pivotFmt>
      <c:pivotFmt>
        <c:idx val="422"/>
        <c:marker>
          <c:symbol val="none"/>
        </c:marker>
      </c:pivotFmt>
      <c:pivotFmt>
        <c:idx val="423"/>
        <c:marker>
          <c:symbol val="none"/>
        </c:marker>
      </c:pivotFmt>
      <c:pivotFmt>
        <c:idx val="424"/>
        <c:marker>
          <c:symbol val="none"/>
        </c:marker>
      </c:pivotFmt>
      <c:pivotFmt>
        <c:idx val="425"/>
        <c:marker>
          <c:symbol val="none"/>
        </c:marker>
      </c:pivotFmt>
      <c:pivotFmt>
        <c:idx val="426"/>
        <c:marker>
          <c:symbol val="none"/>
        </c:marker>
      </c:pivotFmt>
      <c:pivotFmt>
        <c:idx val="427"/>
        <c:marker>
          <c:symbol val="none"/>
        </c:marker>
      </c:pivotFmt>
      <c:pivotFmt>
        <c:idx val="428"/>
        <c:marker>
          <c:symbol val="none"/>
        </c:marker>
      </c:pivotFmt>
      <c:pivotFmt>
        <c:idx val="429"/>
        <c:marker>
          <c:symbol val="none"/>
        </c:marker>
      </c:pivotFmt>
      <c:pivotFmt>
        <c:idx val="430"/>
        <c:marker>
          <c:symbol val="none"/>
        </c:marker>
      </c:pivotFmt>
      <c:pivotFmt>
        <c:idx val="431"/>
        <c:marker>
          <c:symbol val="none"/>
        </c:marker>
      </c:pivotFmt>
      <c:pivotFmt>
        <c:idx val="432"/>
        <c:marker>
          <c:symbol val="none"/>
        </c:marker>
      </c:pivotFmt>
      <c:pivotFmt>
        <c:idx val="433"/>
        <c:marker>
          <c:symbol val="none"/>
        </c:marker>
      </c:pivotFmt>
      <c:pivotFmt>
        <c:idx val="434"/>
        <c:marker>
          <c:symbol val="none"/>
        </c:marker>
      </c:pivotFmt>
      <c:pivotFmt>
        <c:idx val="435"/>
        <c:marker>
          <c:symbol val="none"/>
        </c:marker>
      </c:pivotFmt>
      <c:pivotFmt>
        <c:idx val="436"/>
        <c:marker>
          <c:symbol val="none"/>
        </c:marker>
      </c:pivotFmt>
      <c:pivotFmt>
        <c:idx val="437"/>
        <c:marker>
          <c:symbol val="none"/>
        </c:marker>
      </c:pivotFmt>
      <c:pivotFmt>
        <c:idx val="438"/>
        <c:marker>
          <c:symbol val="none"/>
        </c:marker>
      </c:pivotFmt>
      <c:pivotFmt>
        <c:idx val="439"/>
        <c:marker>
          <c:symbol val="none"/>
        </c:marker>
      </c:pivotFmt>
      <c:pivotFmt>
        <c:idx val="440"/>
        <c:marker>
          <c:symbol val="none"/>
        </c:marker>
      </c:pivotFmt>
      <c:pivotFmt>
        <c:idx val="441"/>
        <c:marker>
          <c:symbol val="none"/>
        </c:marker>
      </c:pivotFmt>
      <c:pivotFmt>
        <c:idx val="442"/>
        <c:marker>
          <c:symbol val="none"/>
        </c:marker>
      </c:pivotFmt>
      <c:pivotFmt>
        <c:idx val="443"/>
        <c:marker>
          <c:symbol val="none"/>
        </c:marker>
      </c:pivotFmt>
      <c:pivotFmt>
        <c:idx val="444"/>
        <c:marker>
          <c:symbol val="none"/>
        </c:marker>
      </c:pivotFmt>
      <c:pivotFmt>
        <c:idx val="445"/>
        <c:marker>
          <c:symbol val="none"/>
        </c:marker>
      </c:pivotFmt>
      <c:pivotFmt>
        <c:idx val="446"/>
        <c:marker>
          <c:symbol val="none"/>
        </c:marker>
      </c:pivotFmt>
      <c:pivotFmt>
        <c:idx val="447"/>
        <c:marker>
          <c:symbol val="none"/>
        </c:marker>
      </c:pivotFmt>
      <c:pivotFmt>
        <c:idx val="448"/>
        <c:marker>
          <c:symbol val="none"/>
        </c:marker>
      </c:pivotFmt>
      <c:pivotFmt>
        <c:idx val="449"/>
        <c:marker>
          <c:symbol val="none"/>
        </c:marker>
      </c:pivotFmt>
      <c:pivotFmt>
        <c:idx val="450"/>
        <c:marker>
          <c:symbol val="none"/>
        </c:marker>
      </c:pivotFmt>
      <c:pivotFmt>
        <c:idx val="451"/>
        <c:marker>
          <c:symbol val="none"/>
        </c:marker>
      </c:pivotFmt>
      <c:pivotFmt>
        <c:idx val="452"/>
        <c:marker>
          <c:symbol val="none"/>
        </c:marker>
      </c:pivotFmt>
      <c:pivotFmt>
        <c:idx val="453"/>
        <c:marker>
          <c:symbol val="none"/>
        </c:marker>
      </c:pivotFmt>
      <c:pivotFmt>
        <c:idx val="454"/>
        <c:marker>
          <c:symbol val="none"/>
        </c:marker>
      </c:pivotFmt>
      <c:pivotFmt>
        <c:idx val="455"/>
        <c:marker>
          <c:symbol val="none"/>
        </c:marker>
      </c:pivotFmt>
      <c:pivotFmt>
        <c:idx val="456"/>
        <c:marker>
          <c:symbol val="none"/>
        </c:marker>
      </c:pivotFmt>
      <c:pivotFmt>
        <c:idx val="457"/>
        <c:marker>
          <c:symbol val="none"/>
        </c:marker>
      </c:pivotFmt>
      <c:pivotFmt>
        <c:idx val="458"/>
        <c:marker>
          <c:symbol val="none"/>
        </c:marker>
      </c:pivotFmt>
      <c:pivotFmt>
        <c:idx val="459"/>
        <c:marker>
          <c:symbol val="none"/>
        </c:marker>
      </c:pivotFmt>
      <c:pivotFmt>
        <c:idx val="460"/>
        <c:marker>
          <c:symbol val="none"/>
        </c:marker>
      </c:pivotFmt>
      <c:pivotFmt>
        <c:idx val="461"/>
        <c:marker>
          <c:symbol val="none"/>
        </c:marker>
      </c:pivotFmt>
      <c:pivotFmt>
        <c:idx val="462"/>
        <c:marker>
          <c:symbol val="none"/>
        </c:marker>
      </c:pivotFmt>
      <c:pivotFmt>
        <c:idx val="463"/>
        <c:marker>
          <c:symbol val="none"/>
        </c:marker>
      </c:pivotFmt>
      <c:pivotFmt>
        <c:idx val="464"/>
        <c:marker>
          <c:symbol val="none"/>
        </c:marker>
      </c:pivotFmt>
      <c:pivotFmt>
        <c:idx val="465"/>
        <c:marker>
          <c:symbol val="none"/>
        </c:marker>
      </c:pivotFmt>
      <c:pivotFmt>
        <c:idx val="466"/>
        <c:marker>
          <c:symbol val="none"/>
        </c:marker>
      </c:pivotFmt>
      <c:pivotFmt>
        <c:idx val="467"/>
        <c:marker>
          <c:symbol val="none"/>
        </c:marker>
      </c:pivotFmt>
      <c:pivotFmt>
        <c:idx val="468"/>
        <c:marker>
          <c:symbol val="none"/>
        </c:marker>
      </c:pivotFmt>
      <c:pivotFmt>
        <c:idx val="469"/>
        <c:marker>
          <c:symbol val="none"/>
        </c:marker>
      </c:pivotFmt>
      <c:pivotFmt>
        <c:idx val="470"/>
        <c:marker>
          <c:symbol val="none"/>
        </c:marker>
      </c:pivotFmt>
      <c:pivotFmt>
        <c:idx val="471"/>
        <c:marker>
          <c:symbol val="none"/>
        </c:marker>
      </c:pivotFmt>
      <c:pivotFmt>
        <c:idx val="472"/>
        <c:marker>
          <c:symbol val="none"/>
        </c:marker>
      </c:pivotFmt>
      <c:pivotFmt>
        <c:idx val="473"/>
        <c:marker>
          <c:symbol val="none"/>
        </c:marker>
      </c:pivotFmt>
      <c:pivotFmt>
        <c:idx val="474"/>
        <c:marker>
          <c:symbol val="none"/>
        </c:marker>
      </c:pivotFmt>
      <c:pivotFmt>
        <c:idx val="475"/>
        <c:marker>
          <c:symbol val="none"/>
        </c:marker>
      </c:pivotFmt>
      <c:pivotFmt>
        <c:idx val="476"/>
        <c:marker>
          <c:symbol val="none"/>
        </c:marker>
      </c:pivotFmt>
      <c:pivotFmt>
        <c:idx val="477"/>
        <c:marker>
          <c:symbol val="none"/>
        </c:marker>
      </c:pivotFmt>
      <c:pivotFmt>
        <c:idx val="478"/>
        <c:marker>
          <c:symbol val="none"/>
        </c:marker>
      </c:pivotFmt>
      <c:pivotFmt>
        <c:idx val="479"/>
        <c:marker>
          <c:symbol val="none"/>
        </c:marker>
      </c:pivotFmt>
      <c:pivotFmt>
        <c:idx val="480"/>
        <c:marker>
          <c:symbol val="none"/>
        </c:marker>
      </c:pivotFmt>
      <c:pivotFmt>
        <c:idx val="481"/>
        <c:marker>
          <c:symbol val="none"/>
        </c:marker>
      </c:pivotFmt>
      <c:pivotFmt>
        <c:idx val="482"/>
        <c:marker>
          <c:symbol val="none"/>
        </c:marker>
      </c:pivotFmt>
      <c:pivotFmt>
        <c:idx val="483"/>
        <c:marker>
          <c:symbol val="none"/>
        </c:marker>
      </c:pivotFmt>
      <c:pivotFmt>
        <c:idx val="484"/>
        <c:marker>
          <c:symbol val="none"/>
        </c:marker>
      </c:pivotFmt>
      <c:pivotFmt>
        <c:idx val="485"/>
        <c:marker>
          <c:symbol val="none"/>
        </c:marker>
      </c:pivotFmt>
      <c:pivotFmt>
        <c:idx val="486"/>
        <c:marker>
          <c:symbol val="none"/>
        </c:marker>
      </c:pivotFmt>
      <c:pivotFmt>
        <c:idx val="487"/>
        <c:marker>
          <c:symbol val="none"/>
        </c:marker>
      </c:pivotFmt>
      <c:pivotFmt>
        <c:idx val="488"/>
        <c:marker>
          <c:symbol val="none"/>
        </c:marker>
      </c:pivotFmt>
      <c:pivotFmt>
        <c:idx val="489"/>
        <c:marker>
          <c:symbol val="none"/>
        </c:marker>
      </c:pivotFmt>
      <c:pivotFmt>
        <c:idx val="490"/>
        <c:marker>
          <c:symbol val="none"/>
        </c:marker>
      </c:pivotFmt>
      <c:pivotFmt>
        <c:idx val="491"/>
        <c:marker>
          <c:symbol val="none"/>
        </c:marker>
      </c:pivotFmt>
      <c:pivotFmt>
        <c:idx val="492"/>
        <c:marker>
          <c:symbol val="none"/>
        </c:marker>
      </c:pivotFmt>
      <c:pivotFmt>
        <c:idx val="493"/>
        <c:marker>
          <c:symbol val="none"/>
        </c:marker>
      </c:pivotFmt>
      <c:pivotFmt>
        <c:idx val="494"/>
        <c:marker>
          <c:symbol val="none"/>
        </c:marker>
      </c:pivotFmt>
      <c:pivotFmt>
        <c:idx val="495"/>
        <c:marker>
          <c:symbol val="none"/>
        </c:marker>
      </c:pivotFmt>
      <c:pivotFmt>
        <c:idx val="496"/>
        <c:marker>
          <c:symbol val="none"/>
        </c:marker>
      </c:pivotFmt>
      <c:pivotFmt>
        <c:idx val="497"/>
        <c:marker>
          <c:symbol val="none"/>
        </c:marker>
      </c:pivotFmt>
      <c:pivotFmt>
        <c:idx val="498"/>
        <c:marker>
          <c:symbol val="none"/>
        </c:marker>
      </c:pivotFmt>
      <c:pivotFmt>
        <c:idx val="499"/>
        <c:marker>
          <c:symbol val="none"/>
        </c:marker>
      </c:pivotFmt>
      <c:pivotFmt>
        <c:idx val="500"/>
        <c:marker>
          <c:symbol val="none"/>
        </c:marker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</c:pivotFmt>
      <c:pivotFmt>
        <c:idx val="503"/>
        <c:marker>
          <c:symbol val="none"/>
        </c:marker>
      </c:pivotFmt>
      <c:pivotFmt>
        <c:idx val="504"/>
        <c:marker>
          <c:symbol val="none"/>
        </c:marker>
      </c:pivotFmt>
      <c:pivotFmt>
        <c:idx val="505"/>
        <c:marker>
          <c:symbol val="none"/>
        </c:marker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</c:pivotFmt>
      <c:pivotFmt>
        <c:idx val="508"/>
        <c:marker>
          <c:symbol val="none"/>
        </c:marker>
      </c:pivotFmt>
      <c:pivotFmt>
        <c:idx val="509"/>
        <c:marker>
          <c:symbol val="none"/>
        </c:marker>
      </c:pivotFmt>
      <c:pivotFmt>
        <c:idx val="510"/>
        <c:marker>
          <c:symbol val="none"/>
        </c:marker>
      </c:pivotFmt>
      <c:pivotFmt>
        <c:idx val="511"/>
        <c:marker>
          <c:symbol val="none"/>
        </c:marker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  <c:pivotFmt>
        <c:idx val="514"/>
        <c:marker>
          <c:symbol val="none"/>
        </c:marker>
      </c:pivotFmt>
      <c:pivotFmt>
        <c:idx val="515"/>
        <c:marker>
          <c:symbol val="none"/>
        </c:marker>
      </c:pivotFmt>
      <c:pivotFmt>
        <c:idx val="516"/>
        <c:marker>
          <c:symbol val="none"/>
        </c:marker>
      </c:pivotFmt>
      <c:pivotFmt>
        <c:idx val="517"/>
        <c:marker>
          <c:symbol val="none"/>
        </c:marker>
      </c:pivotFmt>
      <c:pivotFmt>
        <c:idx val="518"/>
        <c:marker>
          <c:symbol val="none"/>
        </c:marker>
      </c:pivotFmt>
      <c:pivotFmt>
        <c:idx val="519"/>
        <c:marker>
          <c:symbol val="none"/>
        </c:marker>
      </c:pivotFmt>
      <c:pivotFmt>
        <c:idx val="520"/>
        <c:marker>
          <c:symbol val="none"/>
        </c:marker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  <c:pivotFmt>
        <c:idx val="526"/>
        <c:marker>
          <c:symbol val="none"/>
        </c:marker>
      </c:pivotFmt>
      <c:pivotFmt>
        <c:idx val="527"/>
        <c:marker>
          <c:symbol val="none"/>
        </c:marker>
      </c:pivotFmt>
      <c:pivotFmt>
        <c:idx val="528"/>
        <c:marker>
          <c:symbol val="none"/>
        </c:marker>
      </c:pivotFmt>
      <c:pivotFmt>
        <c:idx val="529"/>
        <c:marker>
          <c:symbol val="none"/>
        </c:marker>
      </c:pivotFmt>
      <c:pivotFmt>
        <c:idx val="530"/>
        <c:marker>
          <c:symbol val="none"/>
        </c:marker>
      </c:pivotFmt>
      <c:pivotFmt>
        <c:idx val="531"/>
        <c:marker>
          <c:symbol val="none"/>
        </c:marker>
      </c:pivotFmt>
      <c:pivotFmt>
        <c:idx val="532"/>
        <c:marker>
          <c:symbol val="none"/>
        </c:marker>
      </c:pivotFmt>
      <c:pivotFmt>
        <c:idx val="533"/>
        <c:marker>
          <c:symbol val="none"/>
        </c:marker>
      </c:pivotFmt>
      <c:pivotFmt>
        <c:idx val="534"/>
        <c:marker>
          <c:symbol val="none"/>
        </c:marker>
      </c:pivotFmt>
      <c:pivotFmt>
        <c:idx val="535"/>
        <c:marker>
          <c:symbol val="none"/>
        </c:marker>
      </c:pivotFmt>
      <c:pivotFmt>
        <c:idx val="536"/>
        <c:marker>
          <c:symbol val="none"/>
        </c:marker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</c:pivotFmt>
      <c:pivotFmt>
        <c:idx val="539"/>
        <c:marker>
          <c:symbol val="none"/>
        </c:marker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</c:pivotFmt>
      <c:pivotFmt>
        <c:idx val="542"/>
        <c:marker>
          <c:symbol val="none"/>
        </c:marker>
      </c:pivotFmt>
      <c:pivotFmt>
        <c:idx val="543"/>
        <c:marker>
          <c:symbol val="none"/>
        </c:marker>
      </c:pivotFmt>
      <c:pivotFmt>
        <c:idx val="544"/>
        <c:marker>
          <c:symbol val="none"/>
        </c:marker>
      </c:pivotFmt>
      <c:pivotFmt>
        <c:idx val="545"/>
        <c:marker>
          <c:symbol val="none"/>
        </c:marker>
      </c:pivotFmt>
      <c:pivotFmt>
        <c:idx val="546"/>
        <c:marker>
          <c:symbol val="none"/>
        </c:marker>
      </c:pivotFmt>
      <c:pivotFmt>
        <c:idx val="547"/>
        <c:marker>
          <c:symbol val="none"/>
        </c:marker>
      </c:pivotFmt>
      <c:pivotFmt>
        <c:idx val="548"/>
        <c:marker>
          <c:symbol val="none"/>
        </c:marker>
      </c:pivotFmt>
      <c:pivotFmt>
        <c:idx val="549"/>
        <c:marker>
          <c:symbol val="none"/>
        </c:marker>
      </c:pivotFmt>
      <c:pivotFmt>
        <c:idx val="550"/>
        <c:marker>
          <c:symbol val="none"/>
        </c:marker>
      </c:pivotFmt>
      <c:pivotFmt>
        <c:idx val="551"/>
        <c:marker>
          <c:symbol val="none"/>
        </c:marker>
      </c:pivotFmt>
      <c:pivotFmt>
        <c:idx val="552"/>
        <c:marker>
          <c:symbol val="none"/>
        </c:marker>
      </c:pivotFmt>
      <c:pivotFmt>
        <c:idx val="553"/>
        <c:marker>
          <c:symbol val="none"/>
        </c:marker>
      </c:pivotFmt>
      <c:pivotFmt>
        <c:idx val="554"/>
        <c:marker>
          <c:symbol val="none"/>
        </c:marker>
      </c:pivotFmt>
      <c:pivotFmt>
        <c:idx val="555"/>
        <c:marker>
          <c:symbol val="none"/>
        </c:marker>
      </c:pivotFmt>
      <c:pivotFmt>
        <c:idx val="556"/>
        <c:marker>
          <c:symbol val="none"/>
        </c:marker>
      </c:pivotFmt>
      <c:pivotFmt>
        <c:idx val="557"/>
        <c:marker>
          <c:symbol val="none"/>
        </c:marker>
      </c:pivotFmt>
      <c:pivotFmt>
        <c:idx val="558"/>
        <c:marker>
          <c:symbol val="none"/>
        </c:marker>
      </c:pivotFmt>
      <c:pivotFmt>
        <c:idx val="559"/>
        <c:marker>
          <c:symbol val="none"/>
        </c:marker>
      </c:pivotFmt>
      <c:pivotFmt>
        <c:idx val="560"/>
        <c:marker>
          <c:symbol val="none"/>
        </c:marker>
      </c:pivotFmt>
      <c:pivotFmt>
        <c:idx val="561"/>
        <c:marker>
          <c:symbol val="none"/>
        </c:marker>
      </c:pivotFmt>
      <c:pivotFmt>
        <c:idx val="562"/>
        <c:marker>
          <c:symbol val="none"/>
        </c:marker>
      </c:pivotFmt>
      <c:pivotFmt>
        <c:idx val="563"/>
        <c:marker>
          <c:symbol val="none"/>
        </c:marker>
      </c:pivotFmt>
      <c:pivotFmt>
        <c:idx val="564"/>
        <c:marker>
          <c:symbol val="none"/>
        </c:marker>
      </c:pivotFmt>
      <c:pivotFmt>
        <c:idx val="565"/>
        <c:marker>
          <c:symbol val="none"/>
        </c:marker>
      </c:pivotFmt>
      <c:pivotFmt>
        <c:idx val="566"/>
        <c:marker>
          <c:symbol val="none"/>
        </c:marker>
      </c:pivotFmt>
      <c:pivotFmt>
        <c:idx val="567"/>
        <c:marker>
          <c:symbol val="none"/>
        </c:marker>
      </c:pivotFmt>
      <c:pivotFmt>
        <c:idx val="568"/>
        <c:marker>
          <c:symbol val="none"/>
        </c:marker>
      </c:pivotFmt>
      <c:pivotFmt>
        <c:idx val="569"/>
        <c:marker>
          <c:symbol val="none"/>
        </c:marker>
      </c:pivotFmt>
      <c:pivotFmt>
        <c:idx val="570"/>
        <c:marker>
          <c:symbol val="none"/>
        </c:marker>
      </c:pivotFmt>
      <c:pivotFmt>
        <c:idx val="571"/>
        <c:marker>
          <c:symbol val="none"/>
        </c:marker>
      </c:pivotFmt>
      <c:pivotFmt>
        <c:idx val="572"/>
        <c:marker>
          <c:symbol val="none"/>
        </c:marker>
      </c:pivotFmt>
      <c:pivotFmt>
        <c:idx val="573"/>
        <c:marker>
          <c:symbol val="none"/>
        </c:marker>
      </c:pivotFmt>
      <c:pivotFmt>
        <c:idx val="574"/>
        <c:marker>
          <c:symbol val="none"/>
        </c:marker>
      </c:pivotFmt>
      <c:pivotFmt>
        <c:idx val="575"/>
        <c:marker>
          <c:symbol val="none"/>
        </c:marker>
      </c:pivotFmt>
      <c:pivotFmt>
        <c:idx val="576"/>
        <c:marker>
          <c:symbol val="none"/>
        </c:marker>
      </c:pivotFmt>
      <c:pivotFmt>
        <c:idx val="577"/>
        <c:marker>
          <c:symbol val="none"/>
        </c:marker>
      </c:pivotFmt>
      <c:pivotFmt>
        <c:idx val="578"/>
        <c:marker>
          <c:symbol val="none"/>
        </c:marker>
      </c:pivotFmt>
      <c:pivotFmt>
        <c:idx val="579"/>
        <c:marker>
          <c:symbol val="none"/>
        </c:marker>
      </c:pivotFmt>
      <c:pivotFmt>
        <c:idx val="580"/>
        <c:marker>
          <c:symbol val="none"/>
        </c:marker>
      </c:pivotFmt>
      <c:pivotFmt>
        <c:idx val="581"/>
        <c:marker>
          <c:symbol val="none"/>
        </c:marker>
      </c:pivotFmt>
      <c:pivotFmt>
        <c:idx val="582"/>
        <c:marker>
          <c:symbol val="none"/>
        </c:marker>
      </c:pivotFmt>
      <c:pivotFmt>
        <c:idx val="583"/>
        <c:marker>
          <c:symbol val="none"/>
        </c:marker>
      </c:pivotFmt>
      <c:pivotFmt>
        <c:idx val="584"/>
        <c:marker>
          <c:symbol val="none"/>
        </c:marker>
      </c:pivotFmt>
      <c:pivotFmt>
        <c:idx val="585"/>
        <c:marker>
          <c:symbol val="none"/>
        </c:marker>
      </c:pivotFmt>
      <c:pivotFmt>
        <c:idx val="586"/>
        <c:marker>
          <c:symbol val="none"/>
        </c:marker>
      </c:pivotFmt>
      <c:pivotFmt>
        <c:idx val="587"/>
        <c:marker>
          <c:symbol val="none"/>
        </c:marker>
      </c:pivotFmt>
      <c:pivotFmt>
        <c:idx val="588"/>
        <c:marker>
          <c:symbol val="none"/>
        </c:marker>
      </c:pivotFmt>
      <c:pivotFmt>
        <c:idx val="589"/>
        <c:marker>
          <c:symbol val="none"/>
        </c:marker>
      </c:pivotFmt>
      <c:pivotFmt>
        <c:idx val="590"/>
        <c:marker>
          <c:symbol val="none"/>
        </c:marker>
      </c:pivotFmt>
      <c:pivotFmt>
        <c:idx val="591"/>
        <c:marker>
          <c:symbol val="none"/>
        </c:marker>
      </c:pivotFmt>
      <c:pivotFmt>
        <c:idx val="592"/>
        <c:marker>
          <c:symbol val="none"/>
        </c:marker>
      </c:pivotFmt>
      <c:pivotFmt>
        <c:idx val="593"/>
        <c:marker>
          <c:symbol val="none"/>
        </c:marker>
      </c:pivotFmt>
      <c:pivotFmt>
        <c:idx val="594"/>
        <c:marker>
          <c:symbol val="none"/>
        </c:marker>
      </c:pivotFmt>
      <c:pivotFmt>
        <c:idx val="595"/>
        <c:marker>
          <c:symbol val="none"/>
        </c:marker>
      </c:pivotFmt>
      <c:pivotFmt>
        <c:idx val="596"/>
        <c:marker>
          <c:symbol val="none"/>
        </c:marker>
      </c:pivotFmt>
      <c:pivotFmt>
        <c:idx val="597"/>
        <c:marker>
          <c:symbol val="none"/>
        </c:marker>
      </c:pivotFmt>
      <c:pivotFmt>
        <c:idx val="598"/>
        <c:marker>
          <c:symbol val="none"/>
        </c:marker>
      </c:pivotFmt>
      <c:pivotFmt>
        <c:idx val="599"/>
        <c:marker>
          <c:symbol val="none"/>
        </c:marker>
      </c:pivotFmt>
      <c:pivotFmt>
        <c:idx val="600"/>
        <c:marker>
          <c:symbol val="none"/>
        </c:marker>
      </c:pivotFmt>
      <c:pivotFmt>
        <c:idx val="601"/>
        <c:marker>
          <c:symbol val="none"/>
        </c:marker>
      </c:pivotFmt>
      <c:pivotFmt>
        <c:idx val="602"/>
        <c:marker>
          <c:symbol val="none"/>
        </c:marker>
      </c:pivotFmt>
      <c:pivotFmt>
        <c:idx val="603"/>
        <c:marker>
          <c:symbol val="none"/>
        </c:marker>
      </c:pivotFmt>
      <c:pivotFmt>
        <c:idx val="604"/>
        <c:marker>
          <c:symbol val="none"/>
        </c:marker>
      </c:pivotFmt>
      <c:pivotFmt>
        <c:idx val="605"/>
        <c:marker>
          <c:symbol val="none"/>
        </c:marker>
      </c:pivotFmt>
      <c:pivotFmt>
        <c:idx val="606"/>
        <c:marker>
          <c:symbol val="none"/>
        </c:marker>
      </c:pivotFmt>
      <c:pivotFmt>
        <c:idx val="607"/>
        <c:marker>
          <c:symbol val="none"/>
        </c:marker>
      </c:pivotFmt>
      <c:pivotFmt>
        <c:idx val="608"/>
        <c:marker>
          <c:symbol val="none"/>
        </c:marker>
      </c:pivotFmt>
      <c:pivotFmt>
        <c:idx val="609"/>
        <c:marker>
          <c:symbol val="none"/>
        </c:marker>
      </c:pivotFmt>
      <c:pivotFmt>
        <c:idx val="610"/>
        <c:marker>
          <c:symbol val="none"/>
        </c:marker>
      </c:pivotFmt>
      <c:pivotFmt>
        <c:idx val="611"/>
        <c:marker>
          <c:symbol val="none"/>
        </c:marker>
      </c:pivotFmt>
      <c:pivotFmt>
        <c:idx val="612"/>
        <c:marker>
          <c:symbol val="none"/>
        </c:marker>
      </c:pivotFmt>
      <c:pivotFmt>
        <c:idx val="613"/>
        <c:marker>
          <c:symbol val="none"/>
        </c:marker>
      </c:pivotFmt>
      <c:pivotFmt>
        <c:idx val="614"/>
        <c:marker>
          <c:symbol val="none"/>
        </c:marker>
      </c:pivotFmt>
      <c:pivotFmt>
        <c:idx val="615"/>
        <c:marker>
          <c:symbol val="none"/>
        </c:marker>
      </c:pivotFmt>
      <c:pivotFmt>
        <c:idx val="616"/>
        <c:marker>
          <c:symbol val="none"/>
        </c:marker>
      </c:pivotFmt>
      <c:pivotFmt>
        <c:idx val="617"/>
        <c:marker>
          <c:symbol val="none"/>
        </c:marker>
      </c:pivotFmt>
      <c:pivotFmt>
        <c:idx val="618"/>
        <c:marker>
          <c:symbol val="none"/>
        </c:marker>
      </c:pivotFmt>
      <c:pivotFmt>
        <c:idx val="619"/>
        <c:marker>
          <c:symbol val="none"/>
        </c:marker>
      </c:pivotFmt>
      <c:pivotFmt>
        <c:idx val="620"/>
        <c:marker>
          <c:symbol val="none"/>
        </c:marker>
      </c:pivotFmt>
      <c:pivotFmt>
        <c:idx val="621"/>
        <c:marker>
          <c:symbol val="none"/>
        </c:marker>
      </c:pivotFmt>
      <c:pivotFmt>
        <c:idx val="622"/>
        <c:marker>
          <c:symbol val="none"/>
        </c:marker>
      </c:pivotFmt>
      <c:pivotFmt>
        <c:idx val="623"/>
        <c:marker>
          <c:symbol val="none"/>
        </c:marker>
      </c:pivotFmt>
      <c:pivotFmt>
        <c:idx val="624"/>
        <c:marker>
          <c:symbol val="none"/>
        </c:marker>
      </c:pivotFmt>
      <c:pivotFmt>
        <c:idx val="625"/>
        <c:marker>
          <c:symbol val="none"/>
        </c:marker>
      </c:pivotFmt>
      <c:pivotFmt>
        <c:idx val="626"/>
        <c:marker>
          <c:symbol val="none"/>
        </c:marker>
      </c:pivotFmt>
      <c:pivotFmt>
        <c:idx val="627"/>
        <c:marker>
          <c:symbol val="none"/>
        </c:marker>
      </c:pivotFmt>
      <c:pivotFmt>
        <c:idx val="628"/>
        <c:marker>
          <c:symbol val="none"/>
        </c:marker>
      </c:pivotFmt>
      <c:pivotFmt>
        <c:idx val="629"/>
        <c:marker>
          <c:symbol val="none"/>
        </c:marker>
      </c:pivotFmt>
      <c:pivotFmt>
        <c:idx val="630"/>
        <c:marker>
          <c:symbol val="none"/>
        </c:marker>
      </c:pivotFmt>
      <c:pivotFmt>
        <c:idx val="631"/>
        <c:marker>
          <c:symbol val="none"/>
        </c:marker>
      </c:pivotFmt>
      <c:pivotFmt>
        <c:idx val="632"/>
        <c:marker>
          <c:symbol val="none"/>
        </c:marker>
      </c:pivotFmt>
      <c:pivotFmt>
        <c:idx val="633"/>
        <c:marker>
          <c:symbol val="none"/>
        </c:marker>
      </c:pivotFmt>
      <c:pivotFmt>
        <c:idx val="634"/>
        <c:marker>
          <c:symbol val="none"/>
        </c:marker>
      </c:pivotFmt>
      <c:pivotFmt>
        <c:idx val="635"/>
        <c:marker>
          <c:symbol val="none"/>
        </c:marker>
      </c:pivotFmt>
      <c:pivotFmt>
        <c:idx val="636"/>
        <c:marker>
          <c:symbol val="none"/>
        </c:marker>
      </c:pivotFmt>
      <c:pivotFmt>
        <c:idx val="637"/>
        <c:marker>
          <c:symbol val="none"/>
        </c:marker>
      </c:pivotFmt>
      <c:pivotFmt>
        <c:idx val="638"/>
        <c:marker>
          <c:symbol val="none"/>
        </c:marker>
      </c:pivotFmt>
      <c:pivotFmt>
        <c:idx val="639"/>
        <c:marker>
          <c:symbol val="none"/>
        </c:marker>
      </c:pivotFmt>
      <c:pivotFmt>
        <c:idx val="640"/>
        <c:marker>
          <c:symbol val="none"/>
        </c:marker>
      </c:pivotFmt>
      <c:pivotFmt>
        <c:idx val="641"/>
        <c:marker>
          <c:symbol val="none"/>
        </c:marker>
      </c:pivotFmt>
      <c:pivotFmt>
        <c:idx val="642"/>
        <c:marker>
          <c:symbol val="none"/>
        </c:marker>
      </c:pivotFmt>
      <c:pivotFmt>
        <c:idx val="643"/>
        <c:marker>
          <c:symbol val="none"/>
        </c:marker>
      </c:pivotFmt>
      <c:pivotFmt>
        <c:idx val="644"/>
        <c:marker>
          <c:symbol val="none"/>
        </c:marker>
      </c:pivotFmt>
      <c:pivotFmt>
        <c:idx val="645"/>
        <c:marker>
          <c:symbol val="none"/>
        </c:marker>
      </c:pivotFmt>
      <c:pivotFmt>
        <c:idx val="646"/>
        <c:marker>
          <c:symbol val="none"/>
        </c:marker>
      </c:pivotFmt>
      <c:pivotFmt>
        <c:idx val="647"/>
        <c:marker>
          <c:symbol val="none"/>
        </c:marker>
      </c:pivotFmt>
      <c:pivotFmt>
        <c:idx val="648"/>
        <c:marker>
          <c:symbol val="none"/>
        </c:marker>
      </c:pivotFmt>
      <c:pivotFmt>
        <c:idx val="649"/>
        <c:marker>
          <c:symbol val="none"/>
        </c:marker>
      </c:pivotFmt>
      <c:pivotFmt>
        <c:idx val="650"/>
        <c:marker>
          <c:symbol val="none"/>
        </c:marker>
      </c:pivotFmt>
      <c:pivotFmt>
        <c:idx val="651"/>
        <c:marker>
          <c:symbol val="none"/>
        </c:marker>
      </c:pivotFmt>
      <c:pivotFmt>
        <c:idx val="652"/>
        <c:marker>
          <c:symbol val="none"/>
        </c:marker>
      </c:pivotFmt>
      <c:pivotFmt>
        <c:idx val="653"/>
        <c:marker>
          <c:symbol val="none"/>
        </c:marker>
      </c:pivotFmt>
      <c:pivotFmt>
        <c:idx val="654"/>
        <c:marker>
          <c:symbol val="none"/>
        </c:marker>
      </c:pivotFmt>
      <c:pivotFmt>
        <c:idx val="655"/>
        <c:marker>
          <c:symbol val="none"/>
        </c:marker>
      </c:pivotFmt>
      <c:pivotFmt>
        <c:idx val="656"/>
        <c:marker>
          <c:symbol val="none"/>
        </c:marker>
      </c:pivotFmt>
      <c:pivotFmt>
        <c:idx val="657"/>
        <c:marker>
          <c:symbol val="none"/>
        </c:marker>
      </c:pivotFmt>
      <c:pivotFmt>
        <c:idx val="658"/>
        <c:marker>
          <c:symbol val="none"/>
        </c:marker>
      </c:pivotFmt>
      <c:pivotFmt>
        <c:idx val="659"/>
        <c:marker>
          <c:symbol val="none"/>
        </c:marker>
      </c:pivotFmt>
      <c:pivotFmt>
        <c:idx val="660"/>
        <c:marker>
          <c:symbol val="none"/>
        </c:marker>
      </c:pivotFmt>
      <c:pivotFmt>
        <c:idx val="661"/>
        <c:marker>
          <c:symbol val="none"/>
        </c:marker>
      </c:pivotFmt>
      <c:pivotFmt>
        <c:idx val="662"/>
        <c:marker>
          <c:symbol val="none"/>
        </c:marker>
      </c:pivotFmt>
      <c:pivotFmt>
        <c:idx val="663"/>
        <c:marker>
          <c:symbol val="none"/>
        </c:marker>
      </c:pivotFmt>
      <c:pivotFmt>
        <c:idx val="664"/>
        <c:marker>
          <c:symbol val="none"/>
        </c:marker>
      </c:pivotFmt>
      <c:pivotFmt>
        <c:idx val="665"/>
        <c:marker>
          <c:symbol val="none"/>
        </c:marker>
      </c:pivotFmt>
      <c:pivotFmt>
        <c:idx val="666"/>
        <c:marker>
          <c:symbol val="none"/>
        </c:marker>
      </c:pivotFmt>
      <c:pivotFmt>
        <c:idx val="667"/>
        <c:marker>
          <c:symbol val="none"/>
        </c:marker>
      </c:pivotFmt>
      <c:pivotFmt>
        <c:idx val="668"/>
        <c:marker>
          <c:symbol val="none"/>
        </c:marker>
      </c:pivotFmt>
      <c:pivotFmt>
        <c:idx val="669"/>
        <c:marker>
          <c:symbol val="none"/>
        </c:marker>
      </c:pivotFmt>
      <c:pivotFmt>
        <c:idx val="670"/>
        <c:marker>
          <c:symbol val="none"/>
        </c:marker>
      </c:pivotFmt>
      <c:pivotFmt>
        <c:idx val="671"/>
        <c:marker>
          <c:symbol val="none"/>
        </c:marker>
      </c:pivotFmt>
      <c:pivotFmt>
        <c:idx val="672"/>
        <c:marker>
          <c:symbol val="none"/>
        </c:marker>
      </c:pivotFmt>
      <c:pivotFmt>
        <c:idx val="673"/>
        <c:marker>
          <c:symbol val="none"/>
        </c:marker>
      </c:pivotFmt>
      <c:pivotFmt>
        <c:idx val="674"/>
        <c:marker>
          <c:symbol val="none"/>
        </c:marker>
      </c:pivotFmt>
      <c:pivotFmt>
        <c:idx val="675"/>
        <c:marker>
          <c:symbol val="none"/>
        </c:marker>
      </c:pivotFmt>
      <c:pivotFmt>
        <c:idx val="676"/>
        <c:marker>
          <c:symbol val="none"/>
        </c:marker>
      </c:pivotFmt>
      <c:pivotFmt>
        <c:idx val="677"/>
        <c:marker>
          <c:symbol val="none"/>
        </c:marker>
      </c:pivotFmt>
      <c:pivotFmt>
        <c:idx val="678"/>
        <c:marker>
          <c:symbol val="none"/>
        </c:marker>
      </c:pivotFmt>
      <c:pivotFmt>
        <c:idx val="679"/>
        <c:marker>
          <c:symbol val="none"/>
        </c:marker>
      </c:pivotFmt>
      <c:pivotFmt>
        <c:idx val="680"/>
        <c:marker>
          <c:symbol val="none"/>
        </c:marker>
      </c:pivotFmt>
      <c:pivotFmt>
        <c:idx val="681"/>
        <c:marker>
          <c:symbol val="none"/>
        </c:marker>
      </c:pivotFmt>
      <c:pivotFmt>
        <c:idx val="682"/>
        <c:marker>
          <c:symbol val="none"/>
        </c:marker>
      </c:pivotFmt>
      <c:pivotFmt>
        <c:idx val="683"/>
        <c:marker>
          <c:symbol val="none"/>
        </c:marker>
      </c:pivotFmt>
      <c:pivotFmt>
        <c:idx val="684"/>
        <c:marker>
          <c:symbol val="none"/>
        </c:marker>
      </c:pivotFmt>
      <c:pivotFmt>
        <c:idx val="685"/>
        <c:marker>
          <c:symbol val="none"/>
        </c:marker>
      </c:pivotFmt>
      <c:pivotFmt>
        <c:idx val="686"/>
        <c:marker>
          <c:symbol val="none"/>
        </c:marker>
      </c:pivotFmt>
      <c:pivotFmt>
        <c:idx val="687"/>
        <c:marker>
          <c:symbol val="none"/>
        </c:marker>
      </c:pivotFmt>
      <c:pivotFmt>
        <c:idx val="688"/>
        <c:marker>
          <c:symbol val="none"/>
        </c:marker>
      </c:pivotFmt>
      <c:pivotFmt>
        <c:idx val="689"/>
        <c:marker>
          <c:symbol val="none"/>
        </c:marker>
      </c:pivotFmt>
      <c:pivotFmt>
        <c:idx val="690"/>
        <c:marker>
          <c:symbol val="none"/>
        </c:marker>
      </c:pivotFmt>
      <c:pivotFmt>
        <c:idx val="6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2"/>
        <c:marker>
          <c:symbol val="none"/>
        </c:marker>
      </c:pivotFmt>
      <c:pivotFmt>
        <c:idx val="69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2.6897716831820111E-2"/>
          <c:y val="2.3012552301255231E-2"/>
          <c:w val="0.95804582143668682"/>
          <c:h val="0.80331038118143183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FB3-4859-89AE-74DC22266CB6}"/>
            </c:ext>
          </c:extLst>
        </c:ser>
        <c:ser>
          <c:idx val="1"/>
          <c:order val="1"/>
          <c:tx>
            <c:v>Série2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B3-4859-89AE-74DC22266CB6}"/>
            </c:ext>
          </c:extLst>
        </c:ser>
        <c:ser>
          <c:idx val="2"/>
          <c:order val="2"/>
          <c:tx>
            <c:v>Série3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4FB3-4859-89AE-74DC22266CB6}"/>
            </c:ext>
          </c:extLst>
        </c:ser>
        <c:ser>
          <c:idx val="3"/>
          <c:order val="3"/>
          <c:tx>
            <c:v>Série4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4FB3-4859-89AE-74DC22266CB6}"/>
            </c:ext>
          </c:extLst>
        </c:ser>
        <c:ser>
          <c:idx val="4"/>
          <c:order val="4"/>
          <c:tx>
            <c:v>Série5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4FB3-4859-89AE-74DC22266CB6}"/>
            </c:ext>
          </c:extLst>
        </c:ser>
        <c:ser>
          <c:idx val="5"/>
          <c:order val="5"/>
          <c:tx>
            <c:v>Série6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B3-4859-89AE-74DC22266CB6}"/>
            </c:ext>
          </c:extLst>
        </c:ser>
        <c:ser>
          <c:idx val="6"/>
          <c:order val="6"/>
          <c:tx>
            <c:v>Série7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4FB3-4859-89AE-74DC22266CB6}"/>
            </c:ext>
          </c:extLst>
        </c:ser>
        <c:ser>
          <c:idx val="7"/>
          <c:order val="7"/>
          <c:tx>
            <c:v>Série8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4FB3-4859-89AE-74DC22266CB6}"/>
            </c:ext>
          </c:extLst>
        </c:ser>
        <c:ser>
          <c:idx val="8"/>
          <c:order val="8"/>
          <c:tx>
            <c:v>Série9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4FB3-4859-89AE-74DC22266CB6}"/>
            </c:ext>
          </c:extLst>
        </c:ser>
        <c:ser>
          <c:idx val="9"/>
          <c:order val="9"/>
          <c:tx>
            <c:v>Série10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B3-4859-89AE-74DC22266CB6}"/>
            </c:ext>
          </c:extLst>
        </c:ser>
        <c:ser>
          <c:idx val="10"/>
          <c:order val="10"/>
          <c:tx>
            <c:v>Série11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4FB3-4859-89AE-74DC22266CB6}"/>
            </c:ext>
          </c:extLst>
        </c:ser>
        <c:ser>
          <c:idx val="11"/>
          <c:order val="11"/>
          <c:tx>
            <c:v>Série12</c:v>
          </c:tx>
          <c:invertIfNegative val="0"/>
          <c:cat>
            <c:strLit>
              <c:ptCount val="48"/>
              <c:pt idx="0">
                <c:v>SEG Seguro do carro</c:v>
              </c:pt>
              <c:pt idx="1">
                <c:v>JAN Jantar Fora</c:v>
              </c:pt>
              <c:pt idx="2">
                <c:v>ACA Academia</c:v>
              </c:pt>
              <c:pt idx="3">
                <c:v>AER Passagem Aérea</c:v>
              </c:pt>
              <c:pt idx="4">
                <c:v>CAR Carro</c:v>
              </c:pt>
              <c:pt idx="5">
                <c:v>CAS Artigos para casa</c:v>
              </c:pt>
              <c:pt idx="6">
                <c:v>CIN Cinema</c:v>
              </c:pt>
              <c:pt idx="7">
                <c:v>COM Combustível</c:v>
              </c:pt>
              <c:pt idx="8">
                <c:v>CUR Cursos</c:v>
              </c:pt>
              <c:pt idx="9">
                <c:v>DEN Dentista, Médicos</c:v>
              </c:pt>
              <c:pt idx="10">
                <c:v>EMP Emprestimos</c:v>
              </c:pt>
              <c:pt idx="11">
                <c:v>EXT Conta no BB America</c:v>
              </c:pt>
              <c:pt idx="12">
                <c:v>FAR Farmácia</c:v>
              </c:pt>
              <c:pt idx="13">
                <c:v>FER2016 1 Férias 2016 1</c:v>
              </c:pt>
              <c:pt idx="14">
                <c:v>FER2016 2 Férias 2016 2º Parte</c:v>
              </c:pt>
              <c:pt idx="15">
                <c:v>FXACA Mensalidade clube/academia</c:v>
              </c:pt>
              <c:pt idx="16">
                <c:v>FXCAR Prestação carro</c:v>
              </c:pt>
              <c:pt idx="17">
                <c:v>FXCELPRI Telefone Celular Pri</c:v>
              </c:pt>
              <c:pt idx="18">
                <c:v>FXCELRO Telefone Celular Ronaldo</c:v>
              </c:pt>
              <c:pt idx="19">
                <c:v>FXCON Condomínio</c:v>
              </c:pt>
              <c:pt idx="20">
                <c:v>FXCREA CREA</c:v>
              </c:pt>
              <c:pt idx="21">
                <c:v>FXCRQ CRQ</c:v>
              </c:pt>
              <c:pt idx="22">
                <c:v>FXCUR Curso de Pós-Grad.</c:v>
              </c:pt>
              <c:pt idx="23">
                <c:v>FXELE Energia Elétrica</c:v>
              </c:pt>
              <c:pt idx="24">
                <c:v>FXIPTU IPTU</c:v>
              </c:pt>
              <c:pt idx="25">
                <c:v>FXIPVA IPVA</c:v>
              </c:pt>
              <c:pt idx="26">
                <c:v>FXIR IRPF 2015</c:v>
              </c:pt>
              <c:pt idx="27">
                <c:v>FXLAR Prestação casa</c:v>
              </c:pt>
              <c:pt idx="28">
                <c:v>FXLIN Curso Linguas</c:v>
              </c:pt>
              <c:pt idx="29">
                <c:v>FXNET Internet/TV/Telefone</c:v>
              </c:pt>
              <c:pt idx="30">
                <c:v>FXSEG Seguro do carro</c:v>
              </c:pt>
              <c:pt idx="31">
                <c:v>FXSEGCAS Seguro da Casa</c:v>
              </c:pt>
              <c:pt idx="32">
                <c:v>FXSIN Sindicato Anual</c:v>
              </c:pt>
              <c:pt idx="33">
                <c:v>INF Informática</c:v>
              </c:pt>
              <c:pt idx="34">
                <c:v>INV Investimentos</c:v>
              </c:pt>
              <c:pt idx="35">
                <c:v>LIN Curso Linguas</c:v>
              </c:pt>
              <c:pt idx="36">
                <c:v>MED medico</c:v>
              </c:pt>
              <c:pt idx="37">
                <c:v>NA NA</c:v>
              </c:pt>
              <c:pt idx="38">
                <c:v>PAD Padaria</c:v>
              </c:pt>
              <c:pt idx="39">
                <c:v>PRE Presentes</c:v>
              </c:pt>
              <c:pt idx="40">
                <c:v>SAL Salão</c:v>
              </c:pt>
              <c:pt idx="41">
                <c:v>SAQ Saque TA</c:v>
              </c:pt>
              <c:pt idx="42">
                <c:v>SUP Supermecado</c:v>
              </c:pt>
              <c:pt idx="43">
                <c:v>TAX Taxas</c:v>
              </c:pt>
              <c:pt idx="44">
                <c:v>TRA Desp. do Trabalho</c:v>
              </c:pt>
              <c:pt idx="45">
                <c:v>VES Vestuário</c:v>
              </c:pt>
              <c:pt idx="46">
                <c:v>VIA Viagem</c:v>
              </c:pt>
              <c:pt idx="47">
                <c:v>(vazio) [Outros Códigos]</c:v>
              </c:pt>
            </c:strLit>
          </c:cat>
          <c: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4FB3-4859-89AE-74DC22266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8484576"/>
        <c:axId val="148480224"/>
      </c:barChart>
      <c:catAx>
        <c:axId val="148484576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95000"/>
                </a:sysClr>
              </a:solidFill>
              <a:prstDash val="sysDash"/>
            </a:ln>
          </c:spPr>
        </c:majorGridlines>
        <c:numFmt formatCode="General" sourceLinked="0"/>
        <c:majorTickMark val="in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pt-BR"/>
          </a:p>
        </c:txPr>
        <c:crossAx val="148480224"/>
        <c:crosses val="autoZero"/>
        <c:auto val="1"/>
        <c:lblAlgn val="ctr"/>
        <c:lblOffset val="100"/>
        <c:noMultiLvlLbl val="0"/>
      </c:catAx>
      <c:valAx>
        <c:axId val="148480224"/>
        <c:scaling>
          <c:orientation val="minMax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  <a:prstDash val="sysDash"/>
            </a:ln>
          </c:spPr>
        </c:majorGridlines>
        <c:numFmt formatCode="0%" sourceLinked="0"/>
        <c:majorTickMark val="none"/>
        <c:minorTickMark val="none"/>
        <c:tickLblPos val="nextTo"/>
        <c:crossAx val="148484576"/>
        <c:crosses val="autoZero"/>
        <c:crossBetween val="between"/>
        <c:majorUnit val="0.05"/>
      </c:valAx>
    </c:plotArea>
    <c:legend>
      <c:legendPos val="b"/>
      <c:layout>
        <c:manualLayout>
          <c:xMode val="edge"/>
          <c:yMode val="edge"/>
          <c:x val="2.3840161071235693E-2"/>
          <c:y val="0.9583992100787152"/>
          <c:w val="0.94573274809123353"/>
          <c:h val="3.9485405177795696E-2"/>
        </c:manualLayout>
      </c:layout>
      <c:overlay val="0"/>
      <c:spPr>
        <a:noFill/>
      </c:spPr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600"/>
      </a:pPr>
      <a:endParaRPr lang="pt-BR"/>
    </a:p>
  </c:txPr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DESPESAS</a:t>
            </a:r>
          </a:p>
        </c:rich>
      </c:tx>
      <c:overlay val="1"/>
    </c:title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 sz="8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numFmt formatCode="#,##0" sourceLinked="0"/>
          <c:spPr/>
          <c:txPr>
            <a:bodyPr/>
            <a:lstStyle/>
            <a:p>
              <a:pPr algn="ctr">
                <a:defRPr lang="pt-BR"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numFmt formatCode="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</c:pivotFmt>
      <c:pivotFmt>
        <c:idx val="242"/>
      </c:pivotFmt>
      <c:pivotFmt>
        <c:idx val="243"/>
      </c:pivotFmt>
      <c:pivotFmt>
        <c:idx val="244"/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5"/>
      </c:pivotFmt>
      <c:pivotFmt>
        <c:idx val="246"/>
      </c:pivotFmt>
      <c:pivotFmt>
        <c:idx val="247"/>
      </c:pivotFmt>
      <c:pivotFmt>
        <c:idx val="248"/>
      </c:pivotFmt>
      <c:pivotFmt>
        <c:idx val="249"/>
      </c:pivotFmt>
      <c:pivotFmt>
        <c:idx val="250"/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1"/>
      </c:pivotFmt>
      <c:pivotFmt>
        <c:idx val="252"/>
      </c:pivotFmt>
      <c:pivotFmt>
        <c:idx val="253"/>
      </c:pivotFmt>
      <c:pivotFmt>
        <c:idx val="254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5"/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 algn="ctr"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6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9"/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0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1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2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3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4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5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6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029140219637753E-2"/>
          <c:y val="4.6013096522886834E-2"/>
          <c:w val="0.92947178303360001"/>
          <c:h val="0.74444570748987104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F99-4359-A3F0-A7728D260CE7}"/>
            </c:ext>
          </c:extLst>
        </c:ser>
        <c:ser>
          <c:idx val="1"/>
          <c:order val="1"/>
          <c:tx>
            <c:v>Série2</c:v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99-4359-A3F0-A7728D260CE7}"/>
            </c:ext>
          </c:extLst>
        </c:ser>
        <c:ser>
          <c:idx val="2"/>
          <c:order val="2"/>
          <c:tx>
            <c:v>Série3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F99-4359-A3F0-A7728D260CE7}"/>
            </c:ext>
          </c:extLst>
        </c:ser>
        <c:ser>
          <c:idx val="3"/>
          <c:order val="3"/>
          <c:tx>
            <c:v>Série4</c:v>
          </c:tx>
          <c:invertIfNegative val="0"/>
          <c:dLbls>
            <c:dLbl>
              <c:idx val="0"/>
              <c:numFmt formatCode="&quot;R$&quot;\ #,##0" sourceLinked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9-4359-A3F0-A7728D260C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AF99-4359-A3F0-A7728D260CE7}"/>
            </c:ext>
          </c:extLst>
        </c:ser>
        <c:ser>
          <c:idx val="4"/>
          <c:order val="4"/>
          <c:tx>
            <c:v>Série5</c:v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99-4359-A3F0-A7728D260CE7}"/>
            </c:ext>
          </c:extLst>
        </c:ser>
        <c:ser>
          <c:idx val="5"/>
          <c:order val="5"/>
          <c:tx>
            <c:v>Série6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AF99-4359-A3F0-A7728D260CE7}"/>
            </c:ext>
          </c:extLst>
        </c:ser>
        <c:ser>
          <c:idx val="6"/>
          <c:order val="6"/>
          <c:tx>
            <c:v>Série7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AF99-4359-A3F0-A7728D260CE7}"/>
            </c:ext>
          </c:extLst>
        </c:ser>
        <c:ser>
          <c:idx val="7"/>
          <c:order val="7"/>
          <c:tx>
            <c:v>Série8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F99-4359-A3F0-A7728D260CE7}"/>
            </c:ext>
          </c:extLst>
        </c:ser>
        <c:ser>
          <c:idx val="8"/>
          <c:order val="8"/>
          <c:tx>
            <c:v>Série9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99-4359-A3F0-A7728D260CE7}"/>
            </c:ext>
          </c:extLst>
        </c:ser>
        <c:ser>
          <c:idx val="9"/>
          <c:order val="9"/>
          <c:tx>
            <c:v>Série10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AF99-4359-A3F0-A7728D260CE7}"/>
            </c:ext>
          </c:extLst>
        </c:ser>
        <c:ser>
          <c:idx val="10"/>
          <c:order val="10"/>
          <c:tx>
            <c:v>Série11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F99-4359-A3F0-A7728D260CE7}"/>
            </c:ext>
          </c:extLst>
        </c:ser>
        <c:ser>
          <c:idx val="11"/>
          <c:order val="11"/>
          <c:tx>
            <c:v>Série12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AF99-4359-A3F0-A7728D260C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-25"/>
        <c:axId val="148508512"/>
        <c:axId val="148509600"/>
      </c:barChart>
      <c:catAx>
        <c:axId val="148508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txPr>
          <a:bodyPr rot="5400000" vert="horz"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509600"/>
        <c:crosses val="autoZero"/>
        <c:auto val="1"/>
        <c:lblAlgn val="ctr"/>
        <c:lblOffset val="100"/>
        <c:noMultiLvlLbl val="0"/>
      </c:catAx>
      <c:valAx>
        <c:axId val="148509600"/>
        <c:scaling>
          <c:orientation val="minMax"/>
        </c:scaling>
        <c:delete val="1"/>
        <c:axPos val="r"/>
        <c:numFmt formatCode="&quot;R$&quot;\ #,##0" sourceLinked="0"/>
        <c:majorTickMark val="none"/>
        <c:minorTickMark val="none"/>
        <c:tickLblPos val="none"/>
        <c:crossAx val="148508512"/>
        <c:crosses val="max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600" b="0" i="0"/>
      </a:pPr>
      <a:endParaRPr lang="pt-BR"/>
    </a:p>
  </c:txPr>
  <c:printSettings>
    <c:headerFooter/>
    <c:pageMargins b="0.78740157499999996" l="0.511811024" r="0.511811024" t="0.78740157499999996" header="0.31496062000000785" footer="0.3149606200000078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[planilha_exemplo_ronaldo.xlsm]Dados Receita!Tabela dinâmica2</c:name>
    <c:fmtId val="1"/>
  </c:pivotSource>
  <c:chart>
    <c:title>
      <c:tx>
        <c:rich>
          <a:bodyPr/>
          <a:lstStyle/>
          <a:p>
            <a:pPr>
              <a:defRPr b="0"/>
            </a:pPr>
            <a:r>
              <a:rPr lang="pt-BR" sz="720" b="0"/>
              <a:t>RECEITAS</a:t>
            </a:r>
          </a:p>
        </c:rich>
      </c:tx>
      <c:layout>
        <c:manualLayout>
          <c:xMode val="edge"/>
          <c:yMode val="edge"/>
          <c:x val="0.46681603246110093"/>
          <c:y val="1.1034477964929502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spPr>
          <a:ln w="25400">
            <a:solidFill>
              <a:srgbClr val="FF0000">
                <a:alpha val="65000"/>
              </a:srgbClr>
            </a:solidFill>
          </a:ln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5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9912617016516483E-2"/>
          <c:y val="8.4165697891633057E-2"/>
          <c:w val="0.85983817374358784"/>
          <c:h val="0.552294302560192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Receita'!$B$3:$B$4</c:f>
              <c:strCache>
                <c:ptCount val="1"/>
                <c:pt idx="0">
                  <c:v>Soma de Valor Liq. Depositado Priscila (A)</c:v>
                </c:pt>
              </c:strCache>
            </c:strRef>
          </c:tx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Receita'!$B$5:$B$17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16AD-4746-9941-A98B6BC17401}"/>
            </c:ext>
          </c:extLst>
        </c:ser>
        <c:ser>
          <c:idx val="1"/>
          <c:order val="1"/>
          <c:tx>
            <c:strRef>
              <c:f>'Dados Receita'!$C$3:$C$4</c:f>
              <c:strCache>
                <c:ptCount val="1"/>
                <c:pt idx="0">
                  <c:v>Soma de Valor Liq. Depositado Ronaldo (A)</c:v>
                </c:pt>
              </c:strCache>
            </c:strRef>
          </c:tx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Receita'!$C$5:$C$17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16AD-4746-9941-A98B6BC17401}"/>
            </c:ext>
          </c:extLst>
        </c:ser>
        <c:ser>
          <c:idx val="2"/>
          <c:order val="2"/>
          <c:tx>
            <c:strRef>
              <c:f>'Dados Receita'!$D$3:$D$4</c:f>
              <c:strCache>
                <c:ptCount val="1"/>
                <c:pt idx="0">
                  <c:v>Soma de TOTAL PROV. LIQ. DEPOSIT. (A-D)</c:v>
                </c:pt>
              </c:strCache>
            </c:strRef>
          </c:tx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Receita'!$D$5:$D$17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AD-4746-9941-A98B6BC17401}"/>
            </c:ext>
          </c:extLst>
        </c:ser>
        <c:ser>
          <c:idx val="3"/>
          <c:order val="3"/>
          <c:tx>
            <c:strRef>
              <c:f>'Dados Receita'!$E$3:$E$4</c:f>
              <c:strCache>
                <c:ptCount val="1"/>
                <c:pt idx="0">
                  <c:v>Soma de Acumulado (B)</c:v>
                </c:pt>
              </c:strCache>
            </c:strRef>
          </c:tx>
          <c:spPr>
            <a:ln w="25400">
              <a:solidFill>
                <a:srgbClr val="FF0000">
                  <a:alpha val="65000"/>
                </a:srgbClr>
              </a:solidFill>
            </a:ln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5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Receita'!$E$5:$E$17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AD-4746-9941-A98B6BC17401}"/>
            </c:ext>
          </c:extLst>
        </c:ser>
        <c:ser>
          <c:idx val="4"/>
          <c:order val="4"/>
          <c:tx>
            <c:strRef>
              <c:f>'Dados Receita'!$F$3:$F$4</c:f>
              <c:strCache>
                <c:ptCount val="1"/>
                <c:pt idx="0">
                  <c:v>Soma de Outras Créditos (E)</c:v>
                </c:pt>
              </c:strCache>
            </c:strRef>
          </c:tx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Receita'!$F$5:$F$17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AD-4746-9941-A98B6BC1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8487296"/>
        <c:axId val="148487840"/>
      </c:barChart>
      <c:catAx>
        <c:axId val="148487296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low"/>
        <c:spPr>
          <a:ln>
            <a:noFill/>
          </a:ln>
        </c:spPr>
        <c:txPr>
          <a:bodyPr rot="5400000" vert="horz"/>
          <a:lstStyle/>
          <a:p>
            <a:pPr>
              <a:defRPr sz="500" b="1"/>
            </a:pPr>
            <a:endParaRPr lang="pt-BR"/>
          </a:p>
        </c:txPr>
        <c:crossAx val="148487840"/>
        <c:crosses val="autoZero"/>
        <c:auto val="1"/>
        <c:lblAlgn val="ctr"/>
        <c:lblOffset val="100"/>
        <c:noMultiLvlLbl val="0"/>
      </c:catAx>
      <c:valAx>
        <c:axId val="148487840"/>
        <c:scaling>
          <c:orientation val="minMax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  <a:prstDash val="sysDot"/>
            </a:ln>
          </c:spPr>
        </c:majorGridlines>
        <c:numFmt formatCode="&quot;R$&quot;\ #,##0" sourceLinked="0"/>
        <c:majorTickMark val="none"/>
        <c:minorTickMark val="none"/>
        <c:tickLblPos val="nextTo"/>
        <c:txPr>
          <a:bodyPr/>
          <a:lstStyle/>
          <a:p>
            <a:pPr>
              <a:defRPr sz="500"/>
            </a:pPr>
            <a:endParaRPr lang="pt-BR"/>
          </a:p>
        </c:txPr>
        <c:crossAx val="148487296"/>
        <c:crosses val="autoZero"/>
        <c:crossBetween val="between"/>
      </c:valAx>
      <c:spPr>
        <a:noFill/>
      </c:spPr>
    </c:plotArea>
    <c:legend>
      <c:legendPos val="b"/>
      <c:layout>
        <c:manualLayout>
          <c:xMode val="edge"/>
          <c:yMode val="edge"/>
          <c:x val="1.1446451963321501E-2"/>
          <c:y val="0.73584372051320435"/>
          <c:w val="0.97457107255824471"/>
          <c:h val="0.13174254390766504"/>
        </c:manualLayout>
      </c:layout>
      <c:overlay val="0"/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785" footer="0.3149606200000078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 sz="1000"/>
              <a:t>Despesas</a:t>
            </a:r>
          </a:p>
        </c:rich>
      </c:tx>
      <c:overlay val="1"/>
    </c:title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Série1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27F-45F7-98CD-63297FE5C6F1}"/>
            </c:ext>
          </c:extLst>
        </c:ser>
        <c:ser>
          <c:idx val="1"/>
          <c:order val="1"/>
          <c:tx>
            <c:v>Série2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7F-45F7-98CD-63297FE5C6F1}"/>
            </c:ext>
          </c:extLst>
        </c:ser>
        <c:ser>
          <c:idx val="2"/>
          <c:order val="2"/>
          <c:tx>
            <c:v>Série3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D27F-45F7-98CD-63297FE5C6F1}"/>
            </c:ext>
          </c:extLst>
        </c:ser>
        <c:ser>
          <c:idx val="3"/>
          <c:order val="3"/>
          <c:tx>
            <c:v>Série4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D27F-45F7-98CD-63297FE5C6F1}"/>
            </c:ext>
          </c:extLst>
        </c:ser>
        <c:ser>
          <c:idx val="4"/>
          <c:order val="4"/>
          <c:tx>
            <c:v>Série5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D27F-45F7-98CD-63297FE5C6F1}"/>
            </c:ext>
          </c:extLst>
        </c:ser>
        <c:ser>
          <c:idx val="5"/>
          <c:order val="5"/>
          <c:tx>
            <c:v>Série6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7F-45F7-98CD-63297FE5C6F1}"/>
            </c:ext>
          </c:extLst>
        </c:ser>
        <c:ser>
          <c:idx val="6"/>
          <c:order val="6"/>
          <c:tx>
            <c:v>Série7</c:v>
          </c:tx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D27F-45F7-98CD-63297FE5C6F1}"/>
            </c:ext>
          </c:extLst>
        </c:ser>
        <c:ser>
          <c:idx val="7"/>
          <c:order val="7"/>
          <c:tx>
            <c:v>Série8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D27F-45F7-98CD-63297FE5C6F1}"/>
            </c:ext>
          </c:extLst>
        </c:ser>
        <c:ser>
          <c:idx val="8"/>
          <c:order val="8"/>
          <c:tx>
            <c:v>Série9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D27F-45F7-98CD-63297FE5C6F1}"/>
            </c:ext>
          </c:extLst>
        </c:ser>
        <c:ser>
          <c:idx val="9"/>
          <c:order val="9"/>
          <c:tx>
            <c:v>Série10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7F-45F7-98CD-63297FE5C6F1}"/>
            </c:ext>
          </c:extLst>
        </c:ser>
        <c:ser>
          <c:idx val="10"/>
          <c:order val="10"/>
          <c:tx>
            <c:v>Série11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D27F-45F7-98CD-63297FE5C6F1}"/>
            </c:ext>
          </c:extLst>
        </c:ser>
        <c:ser>
          <c:idx val="11"/>
          <c:order val="11"/>
          <c:tx>
            <c:v>Série12</c:v>
          </c:tx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D27F-45F7-98CD-63297FE5C6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41"/>
        <c:overlap val="-15"/>
        <c:axId val="148485664"/>
        <c:axId val="148481856"/>
      </c:barChart>
      <c:catAx>
        <c:axId val="148485664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low"/>
        <c:txPr>
          <a:bodyPr rot="5400000" vert="horz" anchor="ctr" anchorCtr="1"/>
          <a:lstStyle/>
          <a:p>
            <a:pPr>
              <a:defRPr sz="600"/>
            </a:pPr>
            <a:endParaRPr lang="pt-BR"/>
          </a:p>
        </c:txPr>
        <c:crossAx val="148481856"/>
        <c:crosses val="autoZero"/>
        <c:auto val="1"/>
        <c:lblAlgn val="ctr"/>
        <c:lblOffset val="100"/>
        <c:noMultiLvlLbl val="0"/>
      </c:catAx>
      <c:valAx>
        <c:axId val="148481856"/>
        <c:scaling>
          <c:orientation val="minMax"/>
        </c:scaling>
        <c:delete val="1"/>
        <c:axPos val="l"/>
        <c:numFmt formatCode="&quot;R$&quot;\ #,##0" sourceLinked="0"/>
        <c:majorTickMark val="none"/>
        <c:minorTickMark val="none"/>
        <c:tickLblPos val="none"/>
        <c:crossAx val="148485664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5.7889240898391522E-2"/>
          <c:y val="0.85887108582890004"/>
          <c:w val="0.85893435514415761"/>
          <c:h val="0.10731739784440272"/>
        </c:manualLayout>
      </c:layout>
      <c:overlay val="0"/>
      <c:txPr>
        <a:bodyPr/>
        <a:lstStyle/>
        <a:p>
          <a:pPr>
            <a:defRPr sz="5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785" footer="0.3149606200000078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[planilha_exemplo_ronaldo.xlsm]Dados Receita!Tabela dinâmica2</c:name>
    <c:fmtId val="10"/>
  </c:pivotSource>
  <c:chart>
    <c:title>
      <c:tx>
        <c:rich>
          <a:bodyPr/>
          <a:lstStyle/>
          <a:p>
            <a:pPr>
              <a:defRPr sz="1000"/>
            </a:pPr>
            <a:r>
              <a:rPr lang="pt-BR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Receitas</a:t>
            </a:r>
          </a:p>
        </c:rich>
      </c:tx>
      <c:overlay val="1"/>
    </c:title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dLbl>
          <c:idx val="0"/>
          <c:numFmt formatCode="&quot;R$&quot;\ #,##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spPr>
          <a:solidFill>
            <a:srgbClr val="006600"/>
          </a:solidFill>
        </c:spPr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spPr>
          <a:ln w="22225">
            <a:solidFill>
              <a:srgbClr val="FF0000">
                <a:alpha val="80000"/>
              </a:srgbClr>
            </a:solidFill>
          </a:ln>
        </c:spPr>
        <c:marker>
          <c:symbol val="circle"/>
          <c:size val="5"/>
          <c:spPr>
            <a:noFill/>
            <a:ln w="19050">
              <a:solidFill>
                <a:srgbClr val="FF0000">
                  <a:alpha val="70000"/>
                </a:srgbClr>
              </a:solidFill>
            </a:ln>
          </c:spPr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 sz="600"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spPr>
          <a:solidFill>
            <a:srgbClr val="006600"/>
          </a:solidFill>
        </c:spPr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spPr>
          <a:ln w="22225">
            <a:solidFill>
              <a:srgbClr val="FF0000">
                <a:alpha val="80000"/>
              </a:srgbClr>
            </a:solidFill>
          </a:ln>
        </c:spPr>
        <c:marker>
          <c:symbol val="circle"/>
          <c:size val="5"/>
          <c:spPr>
            <a:noFill/>
            <a:ln w="19050">
              <a:solidFill>
                <a:srgbClr val="FF0000">
                  <a:alpha val="70000"/>
                </a:srgbClr>
              </a:solidFill>
            </a:ln>
          </c:spPr>
        </c:marker>
        <c:dLbl>
          <c:idx val="0"/>
          <c:numFmt formatCode="&quot;R$&quot;\ #,##0" sourceLinked="0"/>
          <c:spPr/>
          <c:txPr>
            <a:bodyPr/>
            <a:lstStyle/>
            <a:p>
              <a:pPr>
                <a:defRPr sz="600"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9BBB59">
              <a:lumMod val="75000"/>
            </a:srgbClr>
          </a:solidFill>
        </c:spPr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spPr>
          <a:solidFill>
            <a:srgbClr val="006600"/>
          </a:solidFill>
        </c:spPr>
        <c:marker>
          <c:symbol val="none"/>
        </c:marker>
        <c:dLbl>
          <c:idx val="0"/>
          <c:numFmt formatCode="&quot;R$&quot;\ #,##0" sourceLinked="0"/>
          <c:spPr>
            <a:noFill/>
            <a:effectLst/>
          </c:spPr>
          <c:txPr>
            <a:bodyPr rot="-5400000" vert="horz"/>
            <a:lstStyle/>
            <a:p>
              <a:pPr>
                <a:defRPr sz="650" b="1">
                  <a:solidFill>
                    <a:srgbClr val="006600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</c:pivotFmt>
      <c:pivotFmt>
        <c:idx val="39"/>
        <c:spPr>
          <a:ln w="22225">
            <a:solidFill>
              <a:srgbClr val="FF0000">
                <a:alpha val="80000"/>
              </a:srgbClr>
            </a:solidFill>
          </a:ln>
        </c:spPr>
        <c:marker>
          <c:symbol val="circle"/>
          <c:size val="5"/>
          <c:spPr>
            <a:noFill/>
            <a:ln w="19050">
              <a:solidFill>
                <a:srgbClr val="FF0000">
                  <a:alpha val="70000"/>
                </a:srgbClr>
              </a:solidFill>
            </a:ln>
          </c:spPr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600" baseline="0">
                  <a:solidFill>
                    <a:srgbClr val="FF0000"/>
                  </a:solidFill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2.5518313106888808E-2"/>
              <c:y val="5.0178509058208714E-3"/>
            </c:manualLayout>
          </c:layout>
          <c:numFmt formatCode="&quot;R$&quot;\ #,##0" sourceLinked="0"/>
          <c:spPr>
            <a:noFill/>
            <a:effectLst/>
          </c:spPr>
          <c:txPr>
            <a:bodyPr rot="-5400000" vert="horz"/>
            <a:lstStyle/>
            <a:p>
              <a:pPr>
                <a:defRPr sz="650" b="1">
                  <a:solidFill>
                    <a:srgbClr val="006600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4876775509458"/>
          <c:y val="7.5655668367070786E-2"/>
          <c:w val="0.79077893307115421"/>
          <c:h val="0.65306580456865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Receita'!$B$3:$B$4</c:f>
              <c:strCache>
                <c:ptCount val="1"/>
                <c:pt idx="0">
                  <c:v>Soma de Valor Liq. Depositado Priscila (A)</c:v>
                </c:pt>
              </c:strCache>
            </c:strRef>
          </c:tx>
          <c:spPr>
            <a:solidFill>
              <a:srgbClr val="9BBB59">
                <a:lumMod val="75000"/>
              </a:srgbClr>
            </a:solidFill>
          </c:spPr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Receita'!$B$5:$B$17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BCC-4F01-9C7D-4B3D4BFDA811}"/>
            </c:ext>
          </c:extLst>
        </c:ser>
        <c:ser>
          <c:idx val="1"/>
          <c:order val="1"/>
          <c:tx>
            <c:strRef>
              <c:f>'Dados Receita'!$C$3:$C$4</c:f>
              <c:strCache>
                <c:ptCount val="1"/>
                <c:pt idx="0">
                  <c:v>Soma de Valor Liq. Depositado Ronaldo (A)</c:v>
                </c:pt>
              </c:strCache>
            </c:strRef>
          </c:tx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Receita'!$C$5:$C$17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BCC-4F01-9C7D-4B3D4BFDA811}"/>
            </c:ext>
          </c:extLst>
        </c:ser>
        <c:ser>
          <c:idx val="2"/>
          <c:order val="2"/>
          <c:tx>
            <c:strRef>
              <c:f>'Dados Receita'!$D$3:$D$4</c:f>
              <c:strCache>
                <c:ptCount val="1"/>
                <c:pt idx="0">
                  <c:v>Soma de TOTAL PROV. LIQ. DEPOSIT. (A-D)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dLbls>
            <c:dLbl>
              <c:idx val="0"/>
              <c:layout>
                <c:manualLayout>
                  <c:x val="2.5518313106888808E-2"/>
                  <c:y val="5.01785090582087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CC-4F01-9C7D-4B3D4BFDA811}"/>
                </c:ext>
              </c:extLst>
            </c:dLbl>
            <c:numFmt formatCode="&quot;R$&quot;\ #,##0" sourceLinked="0"/>
            <c:spPr>
              <a:noFill/>
              <a:effectLst/>
            </c:spPr>
            <c:txPr>
              <a:bodyPr rot="-5400000" vert="horz"/>
              <a:lstStyle/>
              <a:p>
                <a:pPr>
                  <a:defRPr sz="650" b="1">
                    <a:solidFill>
                      <a:srgbClr val="0066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Receita'!$D$5:$D$17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CC-4F01-9C7D-4B3D4BFDA811}"/>
            </c:ext>
          </c:extLst>
        </c:ser>
        <c:ser>
          <c:idx val="4"/>
          <c:order val="4"/>
          <c:tx>
            <c:strRef>
              <c:f>'Dados Receita'!$F$3:$F$4</c:f>
              <c:strCache>
                <c:ptCount val="1"/>
                <c:pt idx="0">
                  <c:v>Soma de Outras Créditos (E)</c:v>
                </c:pt>
              </c:strCache>
            </c:strRef>
          </c:tx>
          <c:invertIfNegative val="0"/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Receita'!$F$5:$F$17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CC-4F01-9C7D-4B3D4BFDA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4"/>
        <c:axId val="148507968"/>
        <c:axId val="148488928"/>
      </c:barChart>
      <c:lineChart>
        <c:grouping val="standard"/>
        <c:varyColors val="0"/>
        <c:ser>
          <c:idx val="3"/>
          <c:order val="3"/>
          <c:tx>
            <c:strRef>
              <c:f>'Dados Receita'!$E$3:$E$4</c:f>
              <c:strCache>
                <c:ptCount val="1"/>
                <c:pt idx="0">
                  <c:v>Soma de Acumulado (B)</c:v>
                </c:pt>
              </c:strCache>
            </c:strRef>
          </c:tx>
          <c:spPr>
            <a:ln w="22225">
              <a:solidFill>
                <a:srgbClr val="FF0000">
                  <a:alpha val="80000"/>
                </a:srgbClr>
              </a:solidFill>
            </a:ln>
          </c:spPr>
          <c:marker>
            <c:symbol val="circle"/>
            <c:size val="5"/>
            <c:spPr>
              <a:noFill/>
              <a:ln w="19050">
                <a:solidFill>
                  <a:srgbClr val="FF0000">
                    <a:alpha val="70000"/>
                  </a:srgbClr>
                </a:solidFill>
              </a:ln>
            </c:spPr>
          </c:marker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 baseline="0">
                    <a:solidFill>
                      <a:srgbClr val="FF000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Receita'!$A$5:$A$17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Receita'!$E$5:$E$17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CC-4F01-9C7D-4B3D4BFDA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482400"/>
        <c:axId val="148509056"/>
      </c:lineChart>
      <c:catAx>
        <c:axId val="148507968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85000"/>
                </a:sysClr>
              </a:solidFill>
              <a:prstDash val="sysDash"/>
            </a:ln>
          </c:spPr>
        </c:majorGridlines>
        <c:numFmt formatCode="General" sourceLinked="0"/>
        <c:majorTickMark val="in"/>
        <c:minorTickMark val="none"/>
        <c:tickLblPos val="low"/>
        <c:txPr>
          <a:bodyPr rot="5400000" vert="horz" anchor="ctr" anchorCtr="1"/>
          <a:lstStyle/>
          <a:p>
            <a:pPr>
              <a:defRPr sz="650"/>
            </a:pPr>
            <a:endParaRPr lang="pt-BR"/>
          </a:p>
        </c:txPr>
        <c:crossAx val="148488928"/>
        <c:crosses val="autoZero"/>
        <c:auto val="1"/>
        <c:lblAlgn val="ctr"/>
        <c:lblOffset val="100"/>
        <c:noMultiLvlLbl val="0"/>
      </c:catAx>
      <c:valAx>
        <c:axId val="148488928"/>
        <c:scaling>
          <c:orientation val="minMax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  <a:prstDash val="sysDash"/>
            </a:ln>
          </c:spPr>
        </c:majorGridlines>
        <c:numFmt formatCode="&quot;R$&quot;\ #,##0" sourceLinked="0"/>
        <c:majorTickMark val="none"/>
        <c:minorTickMark val="none"/>
        <c:tickLblPos val="nextTo"/>
        <c:txPr>
          <a:bodyPr/>
          <a:lstStyle/>
          <a:p>
            <a:pPr>
              <a:defRPr sz="500"/>
            </a:pPr>
            <a:endParaRPr lang="pt-BR"/>
          </a:p>
        </c:txPr>
        <c:crossAx val="148507968"/>
        <c:crosses val="autoZero"/>
        <c:crossBetween val="between"/>
      </c:valAx>
      <c:valAx>
        <c:axId val="148509056"/>
        <c:scaling>
          <c:orientation val="minMax"/>
        </c:scaling>
        <c:delete val="0"/>
        <c:axPos val="r"/>
        <c:numFmt formatCode="&quot;R$&quot;\ #,##0" sourceLinked="0"/>
        <c:majorTickMark val="out"/>
        <c:minorTickMark val="none"/>
        <c:tickLblPos val="nextTo"/>
        <c:txPr>
          <a:bodyPr/>
          <a:lstStyle/>
          <a:p>
            <a:pPr>
              <a:defRPr sz="500"/>
            </a:pPr>
            <a:endParaRPr lang="pt-BR"/>
          </a:p>
        </c:txPr>
        <c:crossAx val="148482400"/>
        <c:crosses val="max"/>
        <c:crossBetween val="between"/>
        <c:dispUnits>
          <c:builtInUnit val="thousands"/>
          <c:dispUnitsLbl>
            <c:txPr>
              <a:bodyPr/>
              <a:lstStyle/>
              <a:p>
                <a:pPr>
                  <a:defRPr sz="600"/>
                </a:pPr>
                <a:endParaRPr lang="pt-BR"/>
              </a:p>
            </c:txPr>
          </c:dispUnitsLbl>
        </c:dispUnits>
      </c:valAx>
      <c:catAx>
        <c:axId val="14848240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148509056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4.0285981926604493E-2"/>
          <c:y val="0.82245579154820103"/>
          <c:w val="0.94955745757675003"/>
          <c:h val="0.10675955947450602"/>
        </c:manualLayout>
      </c:layout>
      <c:overlay val="0"/>
      <c:txPr>
        <a:bodyPr/>
        <a:lstStyle/>
        <a:p>
          <a:pPr>
            <a:defRPr sz="5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785" footer="0.3149606200000078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Gráf9"/>
  <sheetViews>
    <sheetView zoomScale="120" workbookViewId="0"/>
  </sheetViews>
  <pageMargins left="0.25" right="0.25" top="0.75" bottom="0.75" header="0.3" footer="0.3"/>
  <pageSetup paperSize="9" orientation="landscape" horizontalDpi="4294967293" verticalDpi="4294967293" r:id="rId1"/>
  <drawing r:id="rId2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123825</xdr:colOff>
      <xdr:row>7</xdr:row>
      <xdr:rowOff>186171</xdr:rowOff>
    </xdr:from>
    <xdr:to>
      <xdr:col>31</xdr:col>
      <xdr:colOff>180975</xdr:colOff>
      <xdr:row>7</xdr:row>
      <xdr:rowOff>186171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5873461" y="982807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122959</xdr:colOff>
      <xdr:row>9</xdr:row>
      <xdr:rowOff>12991</xdr:rowOff>
    </xdr:from>
    <xdr:to>
      <xdr:col>31</xdr:col>
      <xdr:colOff>180109</xdr:colOff>
      <xdr:row>9</xdr:row>
      <xdr:rowOff>12991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872595" y="117330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8</xdr:row>
      <xdr:rowOff>19050</xdr:rowOff>
    </xdr:from>
    <xdr:to>
      <xdr:col>39</xdr:col>
      <xdr:colOff>200025</xdr:colOff>
      <xdr:row>8</xdr:row>
      <xdr:rowOff>19050</xdr:rowOff>
    </xdr:to>
    <xdr:cxnSp macro="">
      <xdr:nvCxnSpPr>
        <xdr:cNvPr id="17" name="Conector de seta reta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>
          <a:off x="2828925" y="6944677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10</xdr:row>
      <xdr:rowOff>19050</xdr:rowOff>
    </xdr:from>
    <xdr:to>
      <xdr:col>39</xdr:col>
      <xdr:colOff>190500</xdr:colOff>
      <xdr:row>10</xdr:row>
      <xdr:rowOff>19050</xdr:rowOff>
    </xdr:to>
    <xdr:cxnSp macro="">
      <xdr:nvCxnSpPr>
        <xdr:cNvPr id="18" name="Conector de seta reta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2819400" y="6977062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7</xdr:row>
      <xdr:rowOff>9525</xdr:rowOff>
    </xdr:from>
    <xdr:ext cx="184731" cy="264560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22002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50</xdr:col>
      <xdr:colOff>76200</xdr:colOff>
      <xdr:row>7</xdr:row>
      <xdr:rowOff>9525</xdr:rowOff>
    </xdr:from>
    <xdr:ext cx="184731" cy="264560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22002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58</xdr:col>
      <xdr:colOff>123825</xdr:colOff>
      <xdr:row>8</xdr:row>
      <xdr:rowOff>47625</xdr:rowOff>
    </xdr:from>
    <xdr:to>
      <xdr:col>61</xdr:col>
      <xdr:colOff>180975</xdr:colOff>
      <xdr:row>8</xdr:row>
      <xdr:rowOff>47625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381000" y="6910387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10</xdr:row>
      <xdr:rowOff>47625</xdr:rowOff>
    </xdr:from>
    <xdr:to>
      <xdr:col>61</xdr:col>
      <xdr:colOff>171450</xdr:colOff>
      <xdr:row>10</xdr:row>
      <xdr:rowOff>47625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371475" y="6942772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142875</xdr:colOff>
      <xdr:row>8</xdr:row>
      <xdr:rowOff>19050</xdr:rowOff>
    </xdr:from>
    <xdr:to>
      <xdr:col>69</xdr:col>
      <xdr:colOff>200025</xdr:colOff>
      <xdr:row>8</xdr:row>
      <xdr:rowOff>19050</xdr:rowOff>
    </xdr:to>
    <xdr:cxnSp macro="">
      <xdr:nvCxnSpPr>
        <xdr:cNvPr id="28" name="Conector de seta reta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2533650" y="6907530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133350</xdr:colOff>
      <xdr:row>10</xdr:row>
      <xdr:rowOff>19050</xdr:rowOff>
    </xdr:from>
    <xdr:to>
      <xdr:col>69</xdr:col>
      <xdr:colOff>190500</xdr:colOff>
      <xdr:row>10</xdr:row>
      <xdr:rowOff>19050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2524125" y="6939915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65</xdr:col>
      <xdr:colOff>76200</xdr:colOff>
      <xdr:row>7</xdr:row>
      <xdr:rowOff>9525</xdr:rowOff>
    </xdr:from>
    <xdr:ext cx="184731" cy="264560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22002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73</xdr:col>
      <xdr:colOff>123825</xdr:colOff>
      <xdr:row>8</xdr:row>
      <xdr:rowOff>47625</xdr:rowOff>
    </xdr:from>
    <xdr:to>
      <xdr:col>76</xdr:col>
      <xdr:colOff>180975</xdr:colOff>
      <xdr:row>8</xdr:row>
      <xdr:rowOff>47625</xdr:rowOff>
    </xdr:to>
    <xdr:cxnSp macro="">
      <xdr:nvCxnSpPr>
        <xdr:cNvPr id="31" name="Conector de seta reta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3924300" y="6910387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10</xdr:row>
      <xdr:rowOff>47625</xdr:rowOff>
    </xdr:from>
    <xdr:to>
      <xdr:col>76</xdr:col>
      <xdr:colOff>171450</xdr:colOff>
      <xdr:row>10</xdr:row>
      <xdr:rowOff>47625</xdr:rowOff>
    </xdr:to>
    <xdr:cxnSp macro="">
      <xdr:nvCxnSpPr>
        <xdr:cNvPr id="32" name="Conector de seta reta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3914775" y="6942772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142875</xdr:colOff>
      <xdr:row>8</xdr:row>
      <xdr:rowOff>19050</xdr:rowOff>
    </xdr:from>
    <xdr:to>
      <xdr:col>84</xdr:col>
      <xdr:colOff>200025</xdr:colOff>
      <xdr:row>8</xdr:row>
      <xdr:rowOff>19050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6076950" y="6907530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133350</xdr:colOff>
      <xdr:row>10</xdr:row>
      <xdr:rowOff>19050</xdr:rowOff>
    </xdr:from>
    <xdr:to>
      <xdr:col>84</xdr:col>
      <xdr:colOff>190500</xdr:colOff>
      <xdr:row>10</xdr:row>
      <xdr:rowOff>19050</xdr:rowOff>
    </xdr:to>
    <xdr:cxnSp macro="">
      <xdr:nvCxnSpPr>
        <xdr:cNvPr id="34" name="Conector de seta reta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6067425" y="6939915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80</xdr:col>
      <xdr:colOff>76200</xdr:colOff>
      <xdr:row>7</xdr:row>
      <xdr:rowOff>9525</xdr:rowOff>
    </xdr:from>
    <xdr:ext cx="184731" cy="264560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57435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88</xdr:col>
      <xdr:colOff>123825</xdr:colOff>
      <xdr:row>8</xdr:row>
      <xdr:rowOff>47625</xdr:rowOff>
    </xdr:from>
    <xdr:to>
      <xdr:col>91</xdr:col>
      <xdr:colOff>180975</xdr:colOff>
      <xdr:row>8</xdr:row>
      <xdr:rowOff>47625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6972300" y="6910387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114300</xdr:colOff>
      <xdr:row>10</xdr:row>
      <xdr:rowOff>47625</xdr:rowOff>
    </xdr:from>
    <xdr:to>
      <xdr:col>91</xdr:col>
      <xdr:colOff>171450</xdr:colOff>
      <xdr:row>10</xdr:row>
      <xdr:rowOff>47625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6962775" y="6942772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142875</xdr:colOff>
      <xdr:row>8</xdr:row>
      <xdr:rowOff>19050</xdr:rowOff>
    </xdr:from>
    <xdr:to>
      <xdr:col>99</xdr:col>
      <xdr:colOff>200025</xdr:colOff>
      <xdr:row>8</xdr:row>
      <xdr:rowOff>19050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9124950" y="6907530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133350</xdr:colOff>
      <xdr:row>10</xdr:row>
      <xdr:rowOff>19050</xdr:rowOff>
    </xdr:from>
    <xdr:to>
      <xdr:col>99</xdr:col>
      <xdr:colOff>190500</xdr:colOff>
      <xdr:row>10</xdr:row>
      <xdr:rowOff>19050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9115425" y="6939915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95</xdr:col>
      <xdr:colOff>76200</xdr:colOff>
      <xdr:row>7</xdr:row>
      <xdr:rowOff>9525</xdr:rowOff>
    </xdr:from>
    <xdr:ext cx="184731" cy="264560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87915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103</xdr:col>
      <xdr:colOff>123825</xdr:colOff>
      <xdr:row>8</xdr:row>
      <xdr:rowOff>47625</xdr:rowOff>
    </xdr:from>
    <xdr:to>
      <xdr:col>106</xdr:col>
      <xdr:colOff>180975</xdr:colOff>
      <xdr:row>8</xdr:row>
      <xdr:rowOff>47625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10334625" y="6910387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114300</xdr:colOff>
      <xdr:row>10</xdr:row>
      <xdr:rowOff>47625</xdr:rowOff>
    </xdr:from>
    <xdr:to>
      <xdr:col>106</xdr:col>
      <xdr:colOff>171450</xdr:colOff>
      <xdr:row>10</xdr:row>
      <xdr:rowOff>47625</xdr:rowOff>
    </xdr:to>
    <xdr:cxnSp macro="">
      <xdr:nvCxnSpPr>
        <xdr:cNvPr id="42" name="Conector de seta reta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10325100" y="69427725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142875</xdr:colOff>
      <xdr:row>8</xdr:row>
      <xdr:rowOff>19050</xdr:rowOff>
    </xdr:from>
    <xdr:to>
      <xdr:col>114</xdr:col>
      <xdr:colOff>200025</xdr:colOff>
      <xdr:row>8</xdr:row>
      <xdr:rowOff>19050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12487275" y="6907530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133350</xdr:colOff>
      <xdr:row>10</xdr:row>
      <xdr:rowOff>19050</xdr:rowOff>
    </xdr:from>
    <xdr:to>
      <xdr:col>114</xdr:col>
      <xdr:colOff>190500</xdr:colOff>
      <xdr:row>10</xdr:row>
      <xdr:rowOff>19050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12477750" y="69399150"/>
          <a:ext cx="8572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110</xdr:col>
      <xdr:colOff>76200</xdr:colOff>
      <xdr:row>7</xdr:row>
      <xdr:rowOff>9525</xdr:rowOff>
    </xdr:from>
    <xdr:ext cx="184731" cy="264560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12153900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114300</xdr:colOff>
      <xdr:row>19</xdr:row>
      <xdr:rowOff>47625</xdr:rowOff>
    </xdr:from>
    <xdr:to>
      <xdr:col>31</xdr:col>
      <xdr:colOff>171450</xdr:colOff>
      <xdr:row>19</xdr:row>
      <xdr:rowOff>47625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2381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17</xdr:row>
      <xdr:rowOff>19050</xdr:rowOff>
    </xdr:from>
    <xdr:to>
      <xdr:col>39</xdr:col>
      <xdr:colOff>200025</xdr:colOff>
      <xdr:row>17</xdr:row>
      <xdr:rowOff>19050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20955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19</xdr:row>
      <xdr:rowOff>19050</xdr:rowOff>
    </xdr:from>
    <xdr:to>
      <xdr:col>39</xdr:col>
      <xdr:colOff>190500</xdr:colOff>
      <xdr:row>19</xdr:row>
      <xdr:rowOff>19050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20859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16</xdr:row>
      <xdr:rowOff>9525</xdr:rowOff>
    </xdr:from>
    <xdr:ext cx="184731" cy="264560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18002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58</xdr:col>
      <xdr:colOff>123825</xdr:colOff>
      <xdr:row>17</xdr:row>
      <xdr:rowOff>47625</xdr:rowOff>
    </xdr:from>
    <xdr:to>
      <xdr:col>61</xdr:col>
      <xdr:colOff>180975</xdr:colOff>
      <xdr:row>17</xdr:row>
      <xdr:rowOff>47625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600075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19</xdr:row>
      <xdr:rowOff>47625</xdr:rowOff>
    </xdr:from>
    <xdr:to>
      <xdr:col>61</xdr:col>
      <xdr:colOff>171450</xdr:colOff>
      <xdr:row>19</xdr:row>
      <xdr:rowOff>47625</xdr:rowOff>
    </xdr:to>
    <xdr:cxnSp macro="">
      <xdr:nvCxnSpPr>
        <xdr:cNvPr id="57" name="Conector de seta reta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59912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142875</xdr:colOff>
      <xdr:row>17</xdr:row>
      <xdr:rowOff>19050</xdr:rowOff>
    </xdr:from>
    <xdr:to>
      <xdr:col>69</xdr:col>
      <xdr:colOff>200025</xdr:colOff>
      <xdr:row>17</xdr:row>
      <xdr:rowOff>19050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78486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133350</xdr:colOff>
      <xdr:row>19</xdr:row>
      <xdr:rowOff>19050</xdr:rowOff>
    </xdr:from>
    <xdr:to>
      <xdr:col>69</xdr:col>
      <xdr:colOff>190500</xdr:colOff>
      <xdr:row>19</xdr:row>
      <xdr:rowOff>19050</xdr:rowOff>
    </xdr:to>
    <xdr:cxnSp macro="">
      <xdr:nvCxnSpPr>
        <xdr:cNvPr id="59" name="Conector de seta reta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78390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65</xdr:col>
      <xdr:colOff>76200</xdr:colOff>
      <xdr:row>16</xdr:row>
      <xdr:rowOff>9525</xdr:rowOff>
    </xdr:from>
    <xdr:ext cx="184731" cy="264560"/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75533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73</xdr:col>
      <xdr:colOff>123825</xdr:colOff>
      <xdr:row>17</xdr:row>
      <xdr:rowOff>47625</xdr:rowOff>
    </xdr:from>
    <xdr:to>
      <xdr:col>76</xdr:col>
      <xdr:colOff>180975</xdr:colOff>
      <xdr:row>17</xdr:row>
      <xdr:rowOff>47625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887730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19</xdr:row>
      <xdr:rowOff>47625</xdr:rowOff>
    </xdr:from>
    <xdr:to>
      <xdr:col>76</xdr:col>
      <xdr:colOff>171450</xdr:colOff>
      <xdr:row>19</xdr:row>
      <xdr:rowOff>47625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>
          <a:off x="886777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142875</xdr:colOff>
      <xdr:row>17</xdr:row>
      <xdr:rowOff>19050</xdr:rowOff>
    </xdr:from>
    <xdr:to>
      <xdr:col>84</xdr:col>
      <xdr:colOff>200025</xdr:colOff>
      <xdr:row>17</xdr:row>
      <xdr:rowOff>19050</xdr:rowOff>
    </xdr:to>
    <xdr:cxnSp macro="">
      <xdr:nvCxnSpPr>
        <xdr:cNvPr id="63" name="Conector de seta reta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1072515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133350</xdr:colOff>
      <xdr:row>19</xdr:row>
      <xdr:rowOff>19050</xdr:rowOff>
    </xdr:from>
    <xdr:to>
      <xdr:col>84</xdr:col>
      <xdr:colOff>190500</xdr:colOff>
      <xdr:row>19</xdr:row>
      <xdr:rowOff>19050</xdr:rowOff>
    </xdr:to>
    <xdr:cxnSp macro="">
      <xdr:nvCxnSpPr>
        <xdr:cNvPr id="64" name="Conector de seta reta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>
          <a:off x="1071562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80</xdr:col>
      <xdr:colOff>76200</xdr:colOff>
      <xdr:row>16</xdr:row>
      <xdr:rowOff>9525</xdr:rowOff>
    </xdr:from>
    <xdr:ext cx="184731" cy="264560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104298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88</xdr:col>
      <xdr:colOff>123825</xdr:colOff>
      <xdr:row>17</xdr:row>
      <xdr:rowOff>47625</xdr:rowOff>
    </xdr:from>
    <xdr:to>
      <xdr:col>91</xdr:col>
      <xdr:colOff>180975</xdr:colOff>
      <xdr:row>17</xdr:row>
      <xdr:rowOff>47625</xdr:rowOff>
    </xdr:to>
    <xdr:cxnSp macro="">
      <xdr:nvCxnSpPr>
        <xdr:cNvPr id="66" name="Conector de seta reta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>
          <a:off x="1175385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114300</xdr:colOff>
      <xdr:row>19</xdr:row>
      <xdr:rowOff>47625</xdr:rowOff>
    </xdr:from>
    <xdr:to>
      <xdr:col>91</xdr:col>
      <xdr:colOff>171450</xdr:colOff>
      <xdr:row>19</xdr:row>
      <xdr:rowOff>47625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117443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142875</xdr:colOff>
      <xdr:row>17</xdr:row>
      <xdr:rowOff>19050</xdr:rowOff>
    </xdr:from>
    <xdr:to>
      <xdr:col>99</xdr:col>
      <xdr:colOff>200025</xdr:colOff>
      <xdr:row>17</xdr:row>
      <xdr:rowOff>19050</xdr:rowOff>
    </xdr:to>
    <xdr:cxnSp macro="">
      <xdr:nvCxnSpPr>
        <xdr:cNvPr id="68" name="Conector de seta reta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136017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133350</xdr:colOff>
      <xdr:row>19</xdr:row>
      <xdr:rowOff>19050</xdr:rowOff>
    </xdr:from>
    <xdr:to>
      <xdr:col>99</xdr:col>
      <xdr:colOff>190500</xdr:colOff>
      <xdr:row>19</xdr:row>
      <xdr:rowOff>19050</xdr:rowOff>
    </xdr:to>
    <xdr:cxnSp macro="">
      <xdr:nvCxnSpPr>
        <xdr:cNvPr id="69" name="Conector de seta reta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35921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95</xdr:col>
      <xdr:colOff>76200</xdr:colOff>
      <xdr:row>16</xdr:row>
      <xdr:rowOff>9525</xdr:rowOff>
    </xdr:from>
    <xdr:ext cx="184731" cy="264560"/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133064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103</xdr:col>
      <xdr:colOff>123825</xdr:colOff>
      <xdr:row>17</xdr:row>
      <xdr:rowOff>47625</xdr:rowOff>
    </xdr:from>
    <xdr:to>
      <xdr:col>106</xdr:col>
      <xdr:colOff>180975</xdr:colOff>
      <xdr:row>17</xdr:row>
      <xdr:rowOff>47625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>
          <a:off x="1463040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114300</xdr:colOff>
      <xdr:row>19</xdr:row>
      <xdr:rowOff>47625</xdr:rowOff>
    </xdr:from>
    <xdr:to>
      <xdr:col>106</xdr:col>
      <xdr:colOff>171450</xdr:colOff>
      <xdr:row>19</xdr:row>
      <xdr:rowOff>47625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>
          <a:off x="1462087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142875</xdr:colOff>
      <xdr:row>17</xdr:row>
      <xdr:rowOff>19050</xdr:rowOff>
    </xdr:from>
    <xdr:to>
      <xdr:col>114</xdr:col>
      <xdr:colOff>200025</xdr:colOff>
      <xdr:row>17</xdr:row>
      <xdr:rowOff>19050</xdr:rowOff>
    </xdr:to>
    <xdr:cxnSp macro="">
      <xdr:nvCxnSpPr>
        <xdr:cNvPr id="73" name="Conector de seta reta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1647825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133350</xdr:colOff>
      <xdr:row>19</xdr:row>
      <xdr:rowOff>19050</xdr:rowOff>
    </xdr:from>
    <xdr:to>
      <xdr:col>114</xdr:col>
      <xdr:colOff>190500</xdr:colOff>
      <xdr:row>19</xdr:row>
      <xdr:rowOff>19050</xdr:rowOff>
    </xdr:to>
    <xdr:cxnSp macro="">
      <xdr:nvCxnSpPr>
        <xdr:cNvPr id="74" name="Conector de seta reta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>
          <a:off x="1646872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25</xdr:row>
      <xdr:rowOff>186171</xdr:rowOff>
    </xdr:from>
    <xdr:to>
      <xdr:col>31</xdr:col>
      <xdr:colOff>180975</xdr:colOff>
      <xdr:row>25</xdr:row>
      <xdr:rowOff>186171</xdr:rowOff>
    </xdr:to>
    <xdr:cxnSp macro="">
      <xdr:nvCxnSpPr>
        <xdr:cNvPr id="196" name="Conector de seta reta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/>
      </xdr:nvCxnSpPr>
      <xdr:spPr>
        <a:xfrm>
          <a:off x="5873461" y="3225512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26</xdr:row>
      <xdr:rowOff>19050</xdr:rowOff>
    </xdr:from>
    <xdr:to>
      <xdr:col>39</xdr:col>
      <xdr:colOff>200025</xdr:colOff>
      <xdr:row>26</xdr:row>
      <xdr:rowOff>19050</xdr:rowOff>
    </xdr:to>
    <xdr:cxnSp macro="">
      <xdr:nvCxnSpPr>
        <xdr:cNvPr id="198" name="Conector de seta reta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CxnSpPr/>
      </xdr:nvCxnSpPr>
      <xdr:spPr>
        <a:xfrm>
          <a:off x="20955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28</xdr:row>
      <xdr:rowOff>19050</xdr:rowOff>
    </xdr:from>
    <xdr:to>
      <xdr:col>39</xdr:col>
      <xdr:colOff>190500</xdr:colOff>
      <xdr:row>28</xdr:row>
      <xdr:rowOff>19050</xdr:rowOff>
    </xdr:to>
    <xdr:cxnSp macro="">
      <xdr:nvCxnSpPr>
        <xdr:cNvPr id="199" name="Conector de seta reta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CxnSpPr/>
      </xdr:nvCxnSpPr>
      <xdr:spPr>
        <a:xfrm>
          <a:off x="20859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25</xdr:row>
      <xdr:rowOff>9525</xdr:rowOff>
    </xdr:from>
    <xdr:ext cx="184731" cy="264560"/>
    <xdr:sp macro="" textlink="">
      <xdr:nvSpPr>
        <xdr:cNvPr id="200" name="CaixaDeTexto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 txBox="1"/>
      </xdr:nvSpPr>
      <xdr:spPr>
        <a:xfrm>
          <a:off x="18002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58</xdr:col>
      <xdr:colOff>123825</xdr:colOff>
      <xdr:row>26</xdr:row>
      <xdr:rowOff>47625</xdr:rowOff>
    </xdr:from>
    <xdr:to>
      <xdr:col>61</xdr:col>
      <xdr:colOff>180975</xdr:colOff>
      <xdr:row>26</xdr:row>
      <xdr:rowOff>47625</xdr:rowOff>
    </xdr:to>
    <xdr:cxnSp macro="">
      <xdr:nvCxnSpPr>
        <xdr:cNvPr id="206" name="Conector de seta reta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/>
      </xdr:nvCxnSpPr>
      <xdr:spPr>
        <a:xfrm>
          <a:off x="600075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28</xdr:row>
      <xdr:rowOff>47625</xdr:rowOff>
    </xdr:from>
    <xdr:to>
      <xdr:col>61</xdr:col>
      <xdr:colOff>171450</xdr:colOff>
      <xdr:row>28</xdr:row>
      <xdr:rowOff>47625</xdr:rowOff>
    </xdr:to>
    <xdr:cxnSp macro="">
      <xdr:nvCxnSpPr>
        <xdr:cNvPr id="207" name="Conector de seta reta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CxnSpPr/>
      </xdr:nvCxnSpPr>
      <xdr:spPr>
        <a:xfrm>
          <a:off x="59912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142875</xdr:colOff>
      <xdr:row>26</xdr:row>
      <xdr:rowOff>19050</xdr:rowOff>
    </xdr:from>
    <xdr:to>
      <xdr:col>69</xdr:col>
      <xdr:colOff>200025</xdr:colOff>
      <xdr:row>26</xdr:row>
      <xdr:rowOff>19050</xdr:rowOff>
    </xdr:to>
    <xdr:cxnSp macro="">
      <xdr:nvCxnSpPr>
        <xdr:cNvPr id="208" name="Conector de seta reta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CxnSpPr/>
      </xdr:nvCxnSpPr>
      <xdr:spPr>
        <a:xfrm>
          <a:off x="78486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133350</xdr:colOff>
      <xdr:row>28</xdr:row>
      <xdr:rowOff>19050</xdr:rowOff>
    </xdr:from>
    <xdr:to>
      <xdr:col>69</xdr:col>
      <xdr:colOff>190500</xdr:colOff>
      <xdr:row>28</xdr:row>
      <xdr:rowOff>19050</xdr:rowOff>
    </xdr:to>
    <xdr:cxnSp macro="">
      <xdr:nvCxnSpPr>
        <xdr:cNvPr id="209" name="Conector de seta reta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/>
      </xdr:nvCxnSpPr>
      <xdr:spPr>
        <a:xfrm>
          <a:off x="78390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65</xdr:col>
      <xdr:colOff>76200</xdr:colOff>
      <xdr:row>25</xdr:row>
      <xdr:rowOff>9525</xdr:rowOff>
    </xdr:from>
    <xdr:ext cx="184731" cy="264560"/>
    <xdr:sp macro="" textlink="">
      <xdr:nvSpPr>
        <xdr:cNvPr id="210" name="CaixaDeTexto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 txBox="1"/>
      </xdr:nvSpPr>
      <xdr:spPr>
        <a:xfrm>
          <a:off x="75533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73</xdr:col>
      <xdr:colOff>123825</xdr:colOff>
      <xdr:row>26</xdr:row>
      <xdr:rowOff>47625</xdr:rowOff>
    </xdr:from>
    <xdr:to>
      <xdr:col>76</xdr:col>
      <xdr:colOff>180975</xdr:colOff>
      <xdr:row>26</xdr:row>
      <xdr:rowOff>47625</xdr:rowOff>
    </xdr:to>
    <xdr:cxnSp macro="">
      <xdr:nvCxnSpPr>
        <xdr:cNvPr id="211" name="Conector de seta reta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CxnSpPr/>
      </xdr:nvCxnSpPr>
      <xdr:spPr>
        <a:xfrm>
          <a:off x="887730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28</xdr:row>
      <xdr:rowOff>47625</xdr:rowOff>
    </xdr:from>
    <xdr:to>
      <xdr:col>76</xdr:col>
      <xdr:colOff>171450</xdr:colOff>
      <xdr:row>28</xdr:row>
      <xdr:rowOff>47625</xdr:rowOff>
    </xdr:to>
    <xdr:cxnSp macro="">
      <xdr:nvCxnSpPr>
        <xdr:cNvPr id="212" name="Conector de seta reta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/>
      </xdr:nvCxnSpPr>
      <xdr:spPr>
        <a:xfrm>
          <a:off x="886777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142875</xdr:colOff>
      <xdr:row>26</xdr:row>
      <xdr:rowOff>19050</xdr:rowOff>
    </xdr:from>
    <xdr:to>
      <xdr:col>84</xdr:col>
      <xdr:colOff>200025</xdr:colOff>
      <xdr:row>26</xdr:row>
      <xdr:rowOff>19050</xdr:rowOff>
    </xdr:to>
    <xdr:cxnSp macro="">
      <xdr:nvCxnSpPr>
        <xdr:cNvPr id="213" name="Conector de seta reta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/>
      </xdr:nvCxnSpPr>
      <xdr:spPr>
        <a:xfrm>
          <a:off x="1072515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133350</xdr:colOff>
      <xdr:row>28</xdr:row>
      <xdr:rowOff>19050</xdr:rowOff>
    </xdr:from>
    <xdr:to>
      <xdr:col>84</xdr:col>
      <xdr:colOff>190500</xdr:colOff>
      <xdr:row>28</xdr:row>
      <xdr:rowOff>19050</xdr:rowOff>
    </xdr:to>
    <xdr:cxnSp macro="">
      <xdr:nvCxnSpPr>
        <xdr:cNvPr id="214" name="Conector de seta reta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/>
      </xdr:nvCxnSpPr>
      <xdr:spPr>
        <a:xfrm>
          <a:off x="1071562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80</xdr:col>
      <xdr:colOff>76200</xdr:colOff>
      <xdr:row>25</xdr:row>
      <xdr:rowOff>9525</xdr:rowOff>
    </xdr:from>
    <xdr:ext cx="184731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104298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88</xdr:col>
      <xdr:colOff>123825</xdr:colOff>
      <xdr:row>26</xdr:row>
      <xdr:rowOff>47625</xdr:rowOff>
    </xdr:from>
    <xdr:to>
      <xdr:col>91</xdr:col>
      <xdr:colOff>180975</xdr:colOff>
      <xdr:row>26</xdr:row>
      <xdr:rowOff>47625</xdr:rowOff>
    </xdr:to>
    <xdr:cxnSp macro="">
      <xdr:nvCxnSpPr>
        <xdr:cNvPr id="216" name="Conector de seta reta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CxnSpPr/>
      </xdr:nvCxnSpPr>
      <xdr:spPr>
        <a:xfrm>
          <a:off x="1175385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114300</xdr:colOff>
      <xdr:row>28</xdr:row>
      <xdr:rowOff>47625</xdr:rowOff>
    </xdr:from>
    <xdr:to>
      <xdr:col>91</xdr:col>
      <xdr:colOff>171450</xdr:colOff>
      <xdr:row>28</xdr:row>
      <xdr:rowOff>47625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/>
      </xdr:nvCxnSpPr>
      <xdr:spPr>
        <a:xfrm>
          <a:off x="117443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142875</xdr:colOff>
      <xdr:row>26</xdr:row>
      <xdr:rowOff>19050</xdr:rowOff>
    </xdr:from>
    <xdr:to>
      <xdr:col>99</xdr:col>
      <xdr:colOff>200025</xdr:colOff>
      <xdr:row>26</xdr:row>
      <xdr:rowOff>19050</xdr:rowOff>
    </xdr:to>
    <xdr:cxnSp macro="">
      <xdr:nvCxnSpPr>
        <xdr:cNvPr id="218" name="Conector de seta reta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>
          <a:off x="136017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133350</xdr:colOff>
      <xdr:row>28</xdr:row>
      <xdr:rowOff>19050</xdr:rowOff>
    </xdr:from>
    <xdr:to>
      <xdr:col>99</xdr:col>
      <xdr:colOff>190500</xdr:colOff>
      <xdr:row>28</xdr:row>
      <xdr:rowOff>19050</xdr:rowOff>
    </xdr:to>
    <xdr:cxnSp macro="">
      <xdr:nvCxnSpPr>
        <xdr:cNvPr id="219" name="Conector de seta reta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>
          <a:off x="135921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95</xdr:col>
      <xdr:colOff>76200</xdr:colOff>
      <xdr:row>25</xdr:row>
      <xdr:rowOff>9525</xdr:rowOff>
    </xdr:from>
    <xdr:ext cx="184731" cy="264560"/>
    <xdr:sp macro="" textlink="">
      <xdr:nvSpPr>
        <xdr:cNvPr id="220" name="CaixaDeTexto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 txBox="1"/>
      </xdr:nvSpPr>
      <xdr:spPr>
        <a:xfrm>
          <a:off x="133064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103</xdr:col>
      <xdr:colOff>123825</xdr:colOff>
      <xdr:row>26</xdr:row>
      <xdr:rowOff>47625</xdr:rowOff>
    </xdr:from>
    <xdr:to>
      <xdr:col>106</xdr:col>
      <xdr:colOff>180975</xdr:colOff>
      <xdr:row>26</xdr:row>
      <xdr:rowOff>47625</xdr:rowOff>
    </xdr:to>
    <xdr:cxnSp macro="">
      <xdr:nvCxnSpPr>
        <xdr:cNvPr id="221" name="Conector de seta reta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>
          <a:off x="1463040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114300</xdr:colOff>
      <xdr:row>28</xdr:row>
      <xdr:rowOff>47625</xdr:rowOff>
    </xdr:from>
    <xdr:to>
      <xdr:col>106</xdr:col>
      <xdr:colOff>171450</xdr:colOff>
      <xdr:row>28</xdr:row>
      <xdr:rowOff>47625</xdr:rowOff>
    </xdr:to>
    <xdr:cxnSp macro="">
      <xdr:nvCxnSpPr>
        <xdr:cNvPr id="222" name="Conector de seta reta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>
          <a:off x="1462087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142875</xdr:colOff>
      <xdr:row>26</xdr:row>
      <xdr:rowOff>19050</xdr:rowOff>
    </xdr:from>
    <xdr:to>
      <xdr:col>114</xdr:col>
      <xdr:colOff>200025</xdr:colOff>
      <xdr:row>26</xdr:row>
      <xdr:rowOff>19050</xdr:rowOff>
    </xdr:to>
    <xdr:cxnSp macro="">
      <xdr:nvCxnSpPr>
        <xdr:cNvPr id="223" name="Conector de seta reta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CxnSpPr/>
      </xdr:nvCxnSpPr>
      <xdr:spPr>
        <a:xfrm>
          <a:off x="1647825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133350</xdr:colOff>
      <xdr:row>28</xdr:row>
      <xdr:rowOff>19050</xdr:rowOff>
    </xdr:from>
    <xdr:to>
      <xdr:col>114</xdr:col>
      <xdr:colOff>190500</xdr:colOff>
      <xdr:row>28</xdr:row>
      <xdr:rowOff>19050</xdr:rowOff>
    </xdr:to>
    <xdr:cxnSp macro="">
      <xdr:nvCxnSpPr>
        <xdr:cNvPr id="224" name="Conector de seta reta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>
          <a:off x="1646872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110</xdr:col>
      <xdr:colOff>76200</xdr:colOff>
      <xdr:row>25</xdr:row>
      <xdr:rowOff>9525</xdr:rowOff>
    </xdr:from>
    <xdr:ext cx="184731" cy="264560"/>
    <xdr:sp macro="" textlink="">
      <xdr:nvSpPr>
        <xdr:cNvPr id="225" name="CaixaDeTexto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 txBox="1"/>
      </xdr:nvSpPr>
      <xdr:spPr>
        <a:xfrm>
          <a:off x="161829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123825</xdr:colOff>
      <xdr:row>34</xdr:row>
      <xdr:rowOff>168853</xdr:rowOff>
    </xdr:from>
    <xdr:to>
      <xdr:col>31</xdr:col>
      <xdr:colOff>180975</xdr:colOff>
      <xdr:row>34</xdr:row>
      <xdr:rowOff>168853</xdr:rowOff>
    </xdr:to>
    <xdr:cxnSp macro="">
      <xdr:nvCxnSpPr>
        <xdr:cNvPr id="226" name="Conector de seta reta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5873461" y="433387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35</xdr:row>
      <xdr:rowOff>19050</xdr:rowOff>
    </xdr:from>
    <xdr:to>
      <xdr:col>39</xdr:col>
      <xdr:colOff>200025</xdr:colOff>
      <xdr:row>35</xdr:row>
      <xdr:rowOff>19050</xdr:rowOff>
    </xdr:to>
    <xdr:cxnSp macro="">
      <xdr:nvCxnSpPr>
        <xdr:cNvPr id="228" name="Conector de seta reta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209550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37</xdr:row>
      <xdr:rowOff>19050</xdr:rowOff>
    </xdr:from>
    <xdr:to>
      <xdr:col>39</xdr:col>
      <xdr:colOff>190500</xdr:colOff>
      <xdr:row>37</xdr:row>
      <xdr:rowOff>19050</xdr:rowOff>
    </xdr:to>
    <xdr:cxnSp macro="">
      <xdr:nvCxnSpPr>
        <xdr:cNvPr id="229" name="Conector de seta reta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CxnSpPr/>
      </xdr:nvCxnSpPr>
      <xdr:spPr>
        <a:xfrm>
          <a:off x="208597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34</xdr:row>
      <xdr:rowOff>9525</xdr:rowOff>
    </xdr:from>
    <xdr:ext cx="184731" cy="264560"/>
    <xdr:sp macro="" textlink="">
      <xdr:nvSpPr>
        <xdr:cNvPr id="230" name="CaixaDeTexto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 txBox="1"/>
      </xdr:nvSpPr>
      <xdr:spPr>
        <a:xfrm>
          <a:off x="180022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58</xdr:col>
      <xdr:colOff>123825</xdr:colOff>
      <xdr:row>35</xdr:row>
      <xdr:rowOff>47625</xdr:rowOff>
    </xdr:from>
    <xdr:to>
      <xdr:col>61</xdr:col>
      <xdr:colOff>180975</xdr:colOff>
      <xdr:row>35</xdr:row>
      <xdr:rowOff>47625</xdr:rowOff>
    </xdr:to>
    <xdr:cxnSp macro="">
      <xdr:nvCxnSpPr>
        <xdr:cNvPr id="236" name="Conector de seta reta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CxnSpPr/>
      </xdr:nvCxnSpPr>
      <xdr:spPr>
        <a:xfrm>
          <a:off x="600075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37</xdr:row>
      <xdr:rowOff>47625</xdr:rowOff>
    </xdr:from>
    <xdr:to>
      <xdr:col>61</xdr:col>
      <xdr:colOff>171450</xdr:colOff>
      <xdr:row>37</xdr:row>
      <xdr:rowOff>47625</xdr:rowOff>
    </xdr:to>
    <xdr:cxnSp macro="">
      <xdr:nvCxnSpPr>
        <xdr:cNvPr id="237" name="Conector de seta reta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CxnSpPr/>
      </xdr:nvCxnSpPr>
      <xdr:spPr>
        <a:xfrm>
          <a:off x="599122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142875</xdr:colOff>
      <xdr:row>35</xdr:row>
      <xdr:rowOff>19050</xdr:rowOff>
    </xdr:from>
    <xdr:to>
      <xdr:col>69</xdr:col>
      <xdr:colOff>200025</xdr:colOff>
      <xdr:row>35</xdr:row>
      <xdr:rowOff>19050</xdr:rowOff>
    </xdr:to>
    <xdr:cxnSp macro="">
      <xdr:nvCxnSpPr>
        <xdr:cNvPr id="238" name="Conector de seta reta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CxnSpPr/>
      </xdr:nvCxnSpPr>
      <xdr:spPr>
        <a:xfrm>
          <a:off x="784860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133350</xdr:colOff>
      <xdr:row>37</xdr:row>
      <xdr:rowOff>19050</xdr:rowOff>
    </xdr:from>
    <xdr:to>
      <xdr:col>69</xdr:col>
      <xdr:colOff>190500</xdr:colOff>
      <xdr:row>37</xdr:row>
      <xdr:rowOff>19050</xdr:rowOff>
    </xdr:to>
    <xdr:cxnSp macro="">
      <xdr:nvCxnSpPr>
        <xdr:cNvPr id="239" name="Conector de seta reta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CxnSpPr/>
      </xdr:nvCxnSpPr>
      <xdr:spPr>
        <a:xfrm>
          <a:off x="783907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65</xdr:col>
      <xdr:colOff>76200</xdr:colOff>
      <xdr:row>34</xdr:row>
      <xdr:rowOff>9525</xdr:rowOff>
    </xdr:from>
    <xdr:ext cx="184731" cy="264560"/>
    <xdr:sp macro="" textlink="">
      <xdr:nvSpPr>
        <xdr:cNvPr id="240" name="CaixaDeTexto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 txBox="1"/>
      </xdr:nvSpPr>
      <xdr:spPr>
        <a:xfrm>
          <a:off x="755332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73</xdr:col>
      <xdr:colOff>123825</xdr:colOff>
      <xdr:row>35</xdr:row>
      <xdr:rowOff>47625</xdr:rowOff>
    </xdr:from>
    <xdr:to>
      <xdr:col>76</xdr:col>
      <xdr:colOff>180975</xdr:colOff>
      <xdr:row>35</xdr:row>
      <xdr:rowOff>47625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/>
      </xdr:nvCxnSpPr>
      <xdr:spPr>
        <a:xfrm>
          <a:off x="887730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37</xdr:row>
      <xdr:rowOff>47625</xdr:rowOff>
    </xdr:from>
    <xdr:to>
      <xdr:col>76</xdr:col>
      <xdr:colOff>171450</xdr:colOff>
      <xdr:row>37</xdr:row>
      <xdr:rowOff>47625</xdr:rowOff>
    </xdr:to>
    <xdr:cxnSp macro="">
      <xdr:nvCxnSpPr>
        <xdr:cNvPr id="242" name="Conector de seta reta 24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CxnSpPr/>
      </xdr:nvCxnSpPr>
      <xdr:spPr>
        <a:xfrm>
          <a:off x="886777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142875</xdr:colOff>
      <xdr:row>35</xdr:row>
      <xdr:rowOff>19050</xdr:rowOff>
    </xdr:from>
    <xdr:to>
      <xdr:col>84</xdr:col>
      <xdr:colOff>200025</xdr:colOff>
      <xdr:row>35</xdr:row>
      <xdr:rowOff>19050</xdr:rowOff>
    </xdr:to>
    <xdr:cxnSp macro="">
      <xdr:nvCxnSpPr>
        <xdr:cNvPr id="243" name="Conector de seta reta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CxnSpPr/>
      </xdr:nvCxnSpPr>
      <xdr:spPr>
        <a:xfrm>
          <a:off x="1072515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133350</xdr:colOff>
      <xdr:row>37</xdr:row>
      <xdr:rowOff>19050</xdr:rowOff>
    </xdr:from>
    <xdr:to>
      <xdr:col>84</xdr:col>
      <xdr:colOff>190500</xdr:colOff>
      <xdr:row>37</xdr:row>
      <xdr:rowOff>19050</xdr:rowOff>
    </xdr:to>
    <xdr:cxnSp macro="">
      <xdr:nvCxnSpPr>
        <xdr:cNvPr id="244" name="Conector de seta reta 243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CxnSpPr/>
      </xdr:nvCxnSpPr>
      <xdr:spPr>
        <a:xfrm>
          <a:off x="1071562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80</xdr:col>
      <xdr:colOff>76200</xdr:colOff>
      <xdr:row>34</xdr:row>
      <xdr:rowOff>9525</xdr:rowOff>
    </xdr:from>
    <xdr:ext cx="184731" cy="264560"/>
    <xdr:sp macro="" textlink="">
      <xdr:nvSpPr>
        <xdr:cNvPr id="245" name="CaixaDeText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 txBox="1"/>
      </xdr:nvSpPr>
      <xdr:spPr>
        <a:xfrm>
          <a:off x="1042987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88</xdr:col>
      <xdr:colOff>123825</xdr:colOff>
      <xdr:row>35</xdr:row>
      <xdr:rowOff>47625</xdr:rowOff>
    </xdr:from>
    <xdr:to>
      <xdr:col>91</xdr:col>
      <xdr:colOff>180975</xdr:colOff>
      <xdr:row>35</xdr:row>
      <xdr:rowOff>47625</xdr:rowOff>
    </xdr:to>
    <xdr:cxnSp macro="">
      <xdr:nvCxnSpPr>
        <xdr:cNvPr id="246" name="Conector de seta reta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/>
      </xdr:nvCxnSpPr>
      <xdr:spPr>
        <a:xfrm>
          <a:off x="1175385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114300</xdr:colOff>
      <xdr:row>37</xdr:row>
      <xdr:rowOff>47625</xdr:rowOff>
    </xdr:from>
    <xdr:to>
      <xdr:col>91</xdr:col>
      <xdr:colOff>171450</xdr:colOff>
      <xdr:row>37</xdr:row>
      <xdr:rowOff>47625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/>
      </xdr:nvCxnSpPr>
      <xdr:spPr>
        <a:xfrm>
          <a:off x="1174432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142875</xdr:colOff>
      <xdr:row>35</xdr:row>
      <xdr:rowOff>19050</xdr:rowOff>
    </xdr:from>
    <xdr:to>
      <xdr:col>99</xdr:col>
      <xdr:colOff>200025</xdr:colOff>
      <xdr:row>35</xdr:row>
      <xdr:rowOff>19050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/>
      </xdr:nvCxnSpPr>
      <xdr:spPr>
        <a:xfrm>
          <a:off x="1360170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133350</xdr:colOff>
      <xdr:row>37</xdr:row>
      <xdr:rowOff>19050</xdr:rowOff>
    </xdr:from>
    <xdr:to>
      <xdr:col>99</xdr:col>
      <xdr:colOff>190500</xdr:colOff>
      <xdr:row>37</xdr:row>
      <xdr:rowOff>19050</xdr:rowOff>
    </xdr:to>
    <xdr:cxnSp macro="">
      <xdr:nvCxnSpPr>
        <xdr:cNvPr id="249" name="Conector de seta reta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CxnSpPr/>
      </xdr:nvCxnSpPr>
      <xdr:spPr>
        <a:xfrm>
          <a:off x="1359217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95</xdr:col>
      <xdr:colOff>76200</xdr:colOff>
      <xdr:row>34</xdr:row>
      <xdr:rowOff>9525</xdr:rowOff>
    </xdr:from>
    <xdr:ext cx="184731" cy="264560"/>
    <xdr:sp macro="" textlink="">
      <xdr:nvSpPr>
        <xdr:cNvPr id="250" name="CaixaDeTexto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1330642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103</xdr:col>
      <xdr:colOff>123825</xdr:colOff>
      <xdr:row>35</xdr:row>
      <xdr:rowOff>47625</xdr:rowOff>
    </xdr:from>
    <xdr:to>
      <xdr:col>106</xdr:col>
      <xdr:colOff>180975</xdr:colOff>
      <xdr:row>35</xdr:row>
      <xdr:rowOff>47625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/>
      </xdr:nvCxnSpPr>
      <xdr:spPr>
        <a:xfrm>
          <a:off x="1463040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114300</xdr:colOff>
      <xdr:row>37</xdr:row>
      <xdr:rowOff>47625</xdr:rowOff>
    </xdr:from>
    <xdr:to>
      <xdr:col>106</xdr:col>
      <xdr:colOff>171450</xdr:colOff>
      <xdr:row>37</xdr:row>
      <xdr:rowOff>47625</xdr:rowOff>
    </xdr:to>
    <xdr:cxnSp macro="">
      <xdr:nvCxnSpPr>
        <xdr:cNvPr id="252" name="Conector de seta reta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CxnSpPr/>
      </xdr:nvCxnSpPr>
      <xdr:spPr>
        <a:xfrm>
          <a:off x="1462087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142875</xdr:colOff>
      <xdr:row>35</xdr:row>
      <xdr:rowOff>19050</xdr:rowOff>
    </xdr:from>
    <xdr:to>
      <xdr:col>114</xdr:col>
      <xdr:colOff>200025</xdr:colOff>
      <xdr:row>35</xdr:row>
      <xdr:rowOff>19050</xdr:rowOff>
    </xdr:to>
    <xdr:cxnSp macro="">
      <xdr:nvCxnSpPr>
        <xdr:cNvPr id="253" name="Conector de seta reta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CxnSpPr/>
      </xdr:nvCxnSpPr>
      <xdr:spPr>
        <a:xfrm>
          <a:off x="1647825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133350</xdr:colOff>
      <xdr:row>37</xdr:row>
      <xdr:rowOff>19050</xdr:rowOff>
    </xdr:from>
    <xdr:to>
      <xdr:col>114</xdr:col>
      <xdr:colOff>190500</xdr:colOff>
      <xdr:row>37</xdr:row>
      <xdr:rowOff>19050</xdr:rowOff>
    </xdr:to>
    <xdr:cxnSp macro="">
      <xdr:nvCxnSpPr>
        <xdr:cNvPr id="254" name="Conector de seta reta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CxnSpPr/>
      </xdr:nvCxnSpPr>
      <xdr:spPr>
        <a:xfrm>
          <a:off x="1646872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110</xdr:col>
      <xdr:colOff>76200</xdr:colOff>
      <xdr:row>34</xdr:row>
      <xdr:rowOff>9525</xdr:rowOff>
    </xdr:from>
    <xdr:ext cx="184731" cy="264560"/>
    <xdr:sp macro="" textlink="">
      <xdr:nvSpPr>
        <xdr:cNvPr id="255" name="CaixaDeTexto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1618297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123825</xdr:colOff>
      <xdr:row>43</xdr:row>
      <xdr:rowOff>168853</xdr:rowOff>
    </xdr:from>
    <xdr:to>
      <xdr:col>31</xdr:col>
      <xdr:colOff>180975</xdr:colOff>
      <xdr:row>43</xdr:row>
      <xdr:rowOff>168853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/>
      </xdr:nvCxnSpPr>
      <xdr:spPr>
        <a:xfrm>
          <a:off x="5873461" y="547687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44</xdr:row>
      <xdr:rowOff>19050</xdr:rowOff>
    </xdr:from>
    <xdr:to>
      <xdr:col>39</xdr:col>
      <xdr:colOff>200025</xdr:colOff>
      <xdr:row>44</xdr:row>
      <xdr:rowOff>19050</xdr:rowOff>
    </xdr:to>
    <xdr:cxnSp macro="">
      <xdr:nvCxnSpPr>
        <xdr:cNvPr id="258" name="Conector de seta reta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/>
      </xdr:nvCxnSpPr>
      <xdr:spPr>
        <a:xfrm>
          <a:off x="20955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46</xdr:row>
      <xdr:rowOff>19050</xdr:rowOff>
    </xdr:from>
    <xdr:to>
      <xdr:col>39</xdr:col>
      <xdr:colOff>190500</xdr:colOff>
      <xdr:row>46</xdr:row>
      <xdr:rowOff>19050</xdr:rowOff>
    </xdr:to>
    <xdr:cxnSp macro="">
      <xdr:nvCxnSpPr>
        <xdr:cNvPr id="259" name="Conector de seta reta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/>
      </xdr:nvCxnSpPr>
      <xdr:spPr>
        <a:xfrm>
          <a:off x="20859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43</xdr:row>
      <xdr:rowOff>9525</xdr:rowOff>
    </xdr:from>
    <xdr:ext cx="184731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8002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58</xdr:col>
      <xdr:colOff>123825</xdr:colOff>
      <xdr:row>44</xdr:row>
      <xdr:rowOff>47625</xdr:rowOff>
    </xdr:from>
    <xdr:to>
      <xdr:col>61</xdr:col>
      <xdr:colOff>180975</xdr:colOff>
      <xdr:row>44</xdr:row>
      <xdr:rowOff>47625</xdr:rowOff>
    </xdr:to>
    <xdr:cxnSp macro="">
      <xdr:nvCxnSpPr>
        <xdr:cNvPr id="266" name="Conector de seta reta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CxnSpPr/>
      </xdr:nvCxnSpPr>
      <xdr:spPr>
        <a:xfrm>
          <a:off x="600075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46</xdr:row>
      <xdr:rowOff>47625</xdr:rowOff>
    </xdr:from>
    <xdr:to>
      <xdr:col>61</xdr:col>
      <xdr:colOff>171450</xdr:colOff>
      <xdr:row>46</xdr:row>
      <xdr:rowOff>47625</xdr:rowOff>
    </xdr:to>
    <xdr:cxnSp macro="">
      <xdr:nvCxnSpPr>
        <xdr:cNvPr id="267" name="Conector de seta reta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CxnSpPr/>
      </xdr:nvCxnSpPr>
      <xdr:spPr>
        <a:xfrm>
          <a:off x="59912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142875</xdr:colOff>
      <xdr:row>44</xdr:row>
      <xdr:rowOff>19050</xdr:rowOff>
    </xdr:from>
    <xdr:to>
      <xdr:col>69</xdr:col>
      <xdr:colOff>200025</xdr:colOff>
      <xdr:row>44</xdr:row>
      <xdr:rowOff>19050</xdr:rowOff>
    </xdr:to>
    <xdr:cxnSp macro="">
      <xdr:nvCxnSpPr>
        <xdr:cNvPr id="268" name="Conector de seta reta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CxnSpPr/>
      </xdr:nvCxnSpPr>
      <xdr:spPr>
        <a:xfrm>
          <a:off x="78486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133350</xdr:colOff>
      <xdr:row>46</xdr:row>
      <xdr:rowOff>19050</xdr:rowOff>
    </xdr:from>
    <xdr:to>
      <xdr:col>69</xdr:col>
      <xdr:colOff>190500</xdr:colOff>
      <xdr:row>46</xdr:row>
      <xdr:rowOff>19050</xdr:rowOff>
    </xdr:to>
    <xdr:cxnSp macro="">
      <xdr:nvCxnSpPr>
        <xdr:cNvPr id="269" name="Conector de seta reta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CxnSpPr/>
      </xdr:nvCxnSpPr>
      <xdr:spPr>
        <a:xfrm>
          <a:off x="78390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65</xdr:col>
      <xdr:colOff>76200</xdr:colOff>
      <xdr:row>43</xdr:row>
      <xdr:rowOff>9525</xdr:rowOff>
    </xdr:from>
    <xdr:ext cx="184731" cy="264560"/>
    <xdr:sp macro="" textlink="">
      <xdr:nvSpPr>
        <xdr:cNvPr id="270" name="CaixaDeTexto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75533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73</xdr:col>
      <xdr:colOff>123825</xdr:colOff>
      <xdr:row>44</xdr:row>
      <xdr:rowOff>47625</xdr:rowOff>
    </xdr:from>
    <xdr:to>
      <xdr:col>76</xdr:col>
      <xdr:colOff>180975</xdr:colOff>
      <xdr:row>44</xdr:row>
      <xdr:rowOff>47625</xdr:rowOff>
    </xdr:to>
    <xdr:cxnSp macro="">
      <xdr:nvCxnSpPr>
        <xdr:cNvPr id="271" name="Conector de seta reta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CxnSpPr/>
      </xdr:nvCxnSpPr>
      <xdr:spPr>
        <a:xfrm>
          <a:off x="887730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46</xdr:row>
      <xdr:rowOff>47625</xdr:rowOff>
    </xdr:from>
    <xdr:to>
      <xdr:col>76</xdr:col>
      <xdr:colOff>171450</xdr:colOff>
      <xdr:row>46</xdr:row>
      <xdr:rowOff>47625</xdr:rowOff>
    </xdr:to>
    <xdr:cxnSp macro="">
      <xdr:nvCxnSpPr>
        <xdr:cNvPr id="272" name="Conector de seta reta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CxnSpPr/>
      </xdr:nvCxnSpPr>
      <xdr:spPr>
        <a:xfrm>
          <a:off x="886777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142875</xdr:colOff>
      <xdr:row>44</xdr:row>
      <xdr:rowOff>19050</xdr:rowOff>
    </xdr:from>
    <xdr:to>
      <xdr:col>84</xdr:col>
      <xdr:colOff>200025</xdr:colOff>
      <xdr:row>44</xdr:row>
      <xdr:rowOff>19050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/>
      </xdr:nvCxnSpPr>
      <xdr:spPr>
        <a:xfrm>
          <a:off x="1072515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133350</xdr:colOff>
      <xdr:row>46</xdr:row>
      <xdr:rowOff>19050</xdr:rowOff>
    </xdr:from>
    <xdr:to>
      <xdr:col>84</xdr:col>
      <xdr:colOff>190500</xdr:colOff>
      <xdr:row>46</xdr:row>
      <xdr:rowOff>19050</xdr:rowOff>
    </xdr:to>
    <xdr:cxnSp macro="">
      <xdr:nvCxnSpPr>
        <xdr:cNvPr id="274" name="Conector de seta reta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CxnSpPr/>
      </xdr:nvCxnSpPr>
      <xdr:spPr>
        <a:xfrm>
          <a:off x="1071562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80</xdr:col>
      <xdr:colOff>76200</xdr:colOff>
      <xdr:row>43</xdr:row>
      <xdr:rowOff>9525</xdr:rowOff>
    </xdr:from>
    <xdr:ext cx="184731" cy="264560"/>
    <xdr:sp macro="" textlink="">
      <xdr:nvSpPr>
        <xdr:cNvPr id="275" name="CaixaDeTexto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4298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88</xdr:col>
      <xdr:colOff>123825</xdr:colOff>
      <xdr:row>44</xdr:row>
      <xdr:rowOff>47625</xdr:rowOff>
    </xdr:from>
    <xdr:to>
      <xdr:col>91</xdr:col>
      <xdr:colOff>180975</xdr:colOff>
      <xdr:row>44</xdr:row>
      <xdr:rowOff>47625</xdr:rowOff>
    </xdr:to>
    <xdr:cxnSp macro="">
      <xdr:nvCxnSpPr>
        <xdr:cNvPr id="276" name="Conector de seta reta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CxnSpPr/>
      </xdr:nvCxnSpPr>
      <xdr:spPr>
        <a:xfrm>
          <a:off x="1175385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114300</xdr:colOff>
      <xdr:row>46</xdr:row>
      <xdr:rowOff>47625</xdr:rowOff>
    </xdr:from>
    <xdr:to>
      <xdr:col>91</xdr:col>
      <xdr:colOff>171450</xdr:colOff>
      <xdr:row>46</xdr:row>
      <xdr:rowOff>47625</xdr:rowOff>
    </xdr:to>
    <xdr:cxnSp macro="">
      <xdr:nvCxnSpPr>
        <xdr:cNvPr id="277" name="Conector de seta reta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CxnSpPr/>
      </xdr:nvCxnSpPr>
      <xdr:spPr>
        <a:xfrm>
          <a:off x="1174432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142875</xdr:colOff>
      <xdr:row>44</xdr:row>
      <xdr:rowOff>19050</xdr:rowOff>
    </xdr:from>
    <xdr:to>
      <xdr:col>99</xdr:col>
      <xdr:colOff>200025</xdr:colOff>
      <xdr:row>44</xdr:row>
      <xdr:rowOff>19050</xdr:rowOff>
    </xdr:to>
    <xdr:cxnSp macro="">
      <xdr:nvCxnSpPr>
        <xdr:cNvPr id="278" name="Conector de seta reta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/>
      </xdr:nvCxnSpPr>
      <xdr:spPr>
        <a:xfrm>
          <a:off x="1360170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133350</xdr:colOff>
      <xdr:row>46</xdr:row>
      <xdr:rowOff>19050</xdr:rowOff>
    </xdr:from>
    <xdr:to>
      <xdr:col>99</xdr:col>
      <xdr:colOff>190500</xdr:colOff>
      <xdr:row>46</xdr:row>
      <xdr:rowOff>19050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/>
      </xdr:nvCxnSpPr>
      <xdr:spPr>
        <a:xfrm>
          <a:off x="1359217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95</xdr:col>
      <xdr:colOff>76200</xdr:colOff>
      <xdr:row>43</xdr:row>
      <xdr:rowOff>9525</xdr:rowOff>
    </xdr:from>
    <xdr:ext cx="184731" cy="264560"/>
    <xdr:sp macro="" textlink="">
      <xdr:nvSpPr>
        <xdr:cNvPr id="280" name="CaixaDeTexto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1330642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103</xdr:col>
      <xdr:colOff>123825</xdr:colOff>
      <xdr:row>44</xdr:row>
      <xdr:rowOff>47625</xdr:rowOff>
    </xdr:from>
    <xdr:to>
      <xdr:col>106</xdr:col>
      <xdr:colOff>180975</xdr:colOff>
      <xdr:row>44</xdr:row>
      <xdr:rowOff>47625</xdr:rowOff>
    </xdr:to>
    <xdr:cxnSp macro="">
      <xdr:nvCxnSpPr>
        <xdr:cNvPr id="281" name="Conector de seta reta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CxnSpPr/>
      </xdr:nvCxnSpPr>
      <xdr:spPr>
        <a:xfrm>
          <a:off x="14630400" y="691038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114300</xdr:colOff>
      <xdr:row>46</xdr:row>
      <xdr:rowOff>47625</xdr:rowOff>
    </xdr:from>
    <xdr:to>
      <xdr:col>106</xdr:col>
      <xdr:colOff>171450</xdr:colOff>
      <xdr:row>46</xdr:row>
      <xdr:rowOff>47625</xdr:rowOff>
    </xdr:to>
    <xdr:cxnSp macro="">
      <xdr:nvCxnSpPr>
        <xdr:cNvPr id="282" name="Conector de seta reta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CxnSpPr/>
      </xdr:nvCxnSpPr>
      <xdr:spPr>
        <a:xfrm>
          <a:off x="14620875" y="69427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142875</xdr:colOff>
      <xdr:row>44</xdr:row>
      <xdr:rowOff>19050</xdr:rowOff>
    </xdr:from>
    <xdr:to>
      <xdr:col>114</xdr:col>
      <xdr:colOff>200025</xdr:colOff>
      <xdr:row>44</xdr:row>
      <xdr:rowOff>19050</xdr:rowOff>
    </xdr:to>
    <xdr:cxnSp macro="">
      <xdr:nvCxnSpPr>
        <xdr:cNvPr id="283" name="Conector de seta reta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/>
      </xdr:nvCxnSpPr>
      <xdr:spPr>
        <a:xfrm>
          <a:off x="16478250" y="690753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133350</xdr:colOff>
      <xdr:row>46</xdr:row>
      <xdr:rowOff>19050</xdr:rowOff>
    </xdr:from>
    <xdr:to>
      <xdr:col>114</xdr:col>
      <xdr:colOff>190500</xdr:colOff>
      <xdr:row>46</xdr:row>
      <xdr:rowOff>19050</xdr:rowOff>
    </xdr:to>
    <xdr:cxnSp macro="">
      <xdr:nvCxnSpPr>
        <xdr:cNvPr id="284" name="Conector de seta reta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CxnSpPr/>
      </xdr:nvCxnSpPr>
      <xdr:spPr>
        <a:xfrm>
          <a:off x="16468725" y="69399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110</xdr:col>
      <xdr:colOff>76200</xdr:colOff>
      <xdr:row>43</xdr:row>
      <xdr:rowOff>9525</xdr:rowOff>
    </xdr:from>
    <xdr:ext cx="184731" cy="264560"/>
    <xdr:sp macro="" textlink="">
      <xdr:nvSpPr>
        <xdr:cNvPr id="285" name="CaixaDeTexto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6182975" y="6886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123825</xdr:colOff>
      <xdr:row>52</xdr:row>
      <xdr:rowOff>177512</xdr:rowOff>
    </xdr:from>
    <xdr:to>
      <xdr:col>31</xdr:col>
      <xdr:colOff>180975</xdr:colOff>
      <xdr:row>52</xdr:row>
      <xdr:rowOff>177512</xdr:rowOff>
    </xdr:to>
    <xdr:cxnSp macro="">
      <xdr:nvCxnSpPr>
        <xdr:cNvPr id="286" name="Conector de seta reta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CxnSpPr/>
      </xdr:nvCxnSpPr>
      <xdr:spPr>
        <a:xfrm>
          <a:off x="5873461" y="6637194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53</xdr:row>
      <xdr:rowOff>19050</xdr:rowOff>
    </xdr:from>
    <xdr:to>
      <xdr:col>39</xdr:col>
      <xdr:colOff>200025</xdr:colOff>
      <xdr:row>53</xdr:row>
      <xdr:rowOff>19050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/>
      </xdr:nvCxnSpPr>
      <xdr:spPr>
        <a:xfrm>
          <a:off x="209550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55</xdr:row>
      <xdr:rowOff>19050</xdr:rowOff>
    </xdr:from>
    <xdr:to>
      <xdr:col>39</xdr:col>
      <xdr:colOff>190500</xdr:colOff>
      <xdr:row>55</xdr:row>
      <xdr:rowOff>19050</xdr:rowOff>
    </xdr:to>
    <xdr:cxnSp macro="">
      <xdr:nvCxnSpPr>
        <xdr:cNvPr id="289" name="Conector de seta reta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CxnSpPr/>
      </xdr:nvCxnSpPr>
      <xdr:spPr>
        <a:xfrm>
          <a:off x="208597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52</xdr:row>
      <xdr:rowOff>9525</xdr:rowOff>
    </xdr:from>
    <xdr:ext cx="184731" cy="264560"/>
    <xdr:sp macro="" textlink="">
      <xdr:nvSpPr>
        <xdr:cNvPr id="290" name="CaixaDeTexto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180022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58</xdr:col>
      <xdr:colOff>123825</xdr:colOff>
      <xdr:row>53</xdr:row>
      <xdr:rowOff>47625</xdr:rowOff>
    </xdr:from>
    <xdr:to>
      <xdr:col>61</xdr:col>
      <xdr:colOff>180975</xdr:colOff>
      <xdr:row>53</xdr:row>
      <xdr:rowOff>47625</xdr:rowOff>
    </xdr:to>
    <xdr:cxnSp macro="">
      <xdr:nvCxnSpPr>
        <xdr:cNvPr id="296" name="Conector de seta reta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CxnSpPr/>
      </xdr:nvCxnSpPr>
      <xdr:spPr>
        <a:xfrm>
          <a:off x="600075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55</xdr:row>
      <xdr:rowOff>47625</xdr:rowOff>
    </xdr:from>
    <xdr:to>
      <xdr:col>61</xdr:col>
      <xdr:colOff>171450</xdr:colOff>
      <xdr:row>55</xdr:row>
      <xdr:rowOff>47625</xdr:rowOff>
    </xdr:to>
    <xdr:cxnSp macro="">
      <xdr:nvCxnSpPr>
        <xdr:cNvPr id="297" name="Conector de seta reta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CxnSpPr/>
      </xdr:nvCxnSpPr>
      <xdr:spPr>
        <a:xfrm>
          <a:off x="599122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142875</xdr:colOff>
      <xdr:row>53</xdr:row>
      <xdr:rowOff>19050</xdr:rowOff>
    </xdr:from>
    <xdr:to>
      <xdr:col>69</xdr:col>
      <xdr:colOff>200025</xdr:colOff>
      <xdr:row>53</xdr:row>
      <xdr:rowOff>19050</xdr:rowOff>
    </xdr:to>
    <xdr:cxnSp macro="">
      <xdr:nvCxnSpPr>
        <xdr:cNvPr id="298" name="Conector de seta reta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CxnSpPr/>
      </xdr:nvCxnSpPr>
      <xdr:spPr>
        <a:xfrm>
          <a:off x="784860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133350</xdr:colOff>
      <xdr:row>55</xdr:row>
      <xdr:rowOff>19050</xdr:rowOff>
    </xdr:from>
    <xdr:to>
      <xdr:col>69</xdr:col>
      <xdr:colOff>190500</xdr:colOff>
      <xdr:row>55</xdr:row>
      <xdr:rowOff>19050</xdr:rowOff>
    </xdr:to>
    <xdr:cxnSp macro="">
      <xdr:nvCxnSpPr>
        <xdr:cNvPr id="299" name="Conector de seta reta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CxnSpPr/>
      </xdr:nvCxnSpPr>
      <xdr:spPr>
        <a:xfrm>
          <a:off x="783907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65</xdr:col>
      <xdr:colOff>76200</xdr:colOff>
      <xdr:row>52</xdr:row>
      <xdr:rowOff>9525</xdr:rowOff>
    </xdr:from>
    <xdr:ext cx="184731" cy="264560"/>
    <xdr:sp macro="" textlink="">
      <xdr:nvSpPr>
        <xdr:cNvPr id="300" name="CaixaDeTexto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755332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73</xdr:col>
      <xdr:colOff>123825</xdr:colOff>
      <xdr:row>53</xdr:row>
      <xdr:rowOff>47625</xdr:rowOff>
    </xdr:from>
    <xdr:to>
      <xdr:col>76</xdr:col>
      <xdr:colOff>180975</xdr:colOff>
      <xdr:row>53</xdr:row>
      <xdr:rowOff>47625</xdr:rowOff>
    </xdr:to>
    <xdr:cxnSp macro="">
      <xdr:nvCxnSpPr>
        <xdr:cNvPr id="301" name="Conector de seta reta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CxnSpPr/>
      </xdr:nvCxnSpPr>
      <xdr:spPr>
        <a:xfrm>
          <a:off x="887730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55</xdr:row>
      <xdr:rowOff>47625</xdr:rowOff>
    </xdr:from>
    <xdr:to>
      <xdr:col>76</xdr:col>
      <xdr:colOff>171450</xdr:colOff>
      <xdr:row>55</xdr:row>
      <xdr:rowOff>47625</xdr:rowOff>
    </xdr:to>
    <xdr:cxnSp macro="">
      <xdr:nvCxnSpPr>
        <xdr:cNvPr id="302" name="Conector de seta reta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CxnSpPr/>
      </xdr:nvCxnSpPr>
      <xdr:spPr>
        <a:xfrm>
          <a:off x="886777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142875</xdr:colOff>
      <xdr:row>53</xdr:row>
      <xdr:rowOff>19050</xdr:rowOff>
    </xdr:from>
    <xdr:to>
      <xdr:col>84</xdr:col>
      <xdr:colOff>200025</xdr:colOff>
      <xdr:row>53</xdr:row>
      <xdr:rowOff>19050</xdr:rowOff>
    </xdr:to>
    <xdr:cxnSp macro="">
      <xdr:nvCxnSpPr>
        <xdr:cNvPr id="303" name="Conector de seta reta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CxnSpPr/>
      </xdr:nvCxnSpPr>
      <xdr:spPr>
        <a:xfrm>
          <a:off x="1072515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133350</xdr:colOff>
      <xdr:row>55</xdr:row>
      <xdr:rowOff>19050</xdr:rowOff>
    </xdr:from>
    <xdr:to>
      <xdr:col>84</xdr:col>
      <xdr:colOff>190500</xdr:colOff>
      <xdr:row>55</xdr:row>
      <xdr:rowOff>19050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/>
      </xdr:nvCxnSpPr>
      <xdr:spPr>
        <a:xfrm>
          <a:off x="1071562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80</xdr:col>
      <xdr:colOff>76200</xdr:colOff>
      <xdr:row>52</xdr:row>
      <xdr:rowOff>9525</xdr:rowOff>
    </xdr:from>
    <xdr:ext cx="184731" cy="264560"/>
    <xdr:sp macro="" textlink="">
      <xdr:nvSpPr>
        <xdr:cNvPr id="305" name="CaixaDeTexto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1042987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88</xdr:col>
      <xdr:colOff>123825</xdr:colOff>
      <xdr:row>53</xdr:row>
      <xdr:rowOff>47625</xdr:rowOff>
    </xdr:from>
    <xdr:to>
      <xdr:col>91</xdr:col>
      <xdr:colOff>180975</xdr:colOff>
      <xdr:row>53</xdr:row>
      <xdr:rowOff>47625</xdr:rowOff>
    </xdr:to>
    <xdr:cxnSp macro="">
      <xdr:nvCxnSpPr>
        <xdr:cNvPr id="306" name="Conector de seta reta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CxnSpPr/>
      </xdr:nvCxnSpPr>
      <xdr:spPr>
        <a:xfrm>
          <a:off x="1175385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114300</xdr:colOff>
      <xdr:row>55</xdr:row>
      <xdr:rowOff>47625</xdr:rowOff>
    </xdr:from>
    <xdr:to>
      <xdr:col>91</xdr:col>
      <xdr:colOff>171450</xdr:colOff>
      <xdr:row>55</xdr:row>
      <xdr:rowOff>47625</xdr:rowOff>
    </xdr:to>
    <xdr:cxnSp macro="">
      <xdr:nvCxnSpPr>
        <xdr:cNvPr id="307" name="Conector de seta reta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CxnSpPr/>
      </xdr:nvCxnSpPr>
      <xdr:spPr>
        <a:xfrm>
          <a:off x="1174432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142875</xdr:colOff>
      <xdr:row>53</xdr:row>
      <xdr:rowOff>19050</xdr:rowOff>
    </xdr:from>
    <xdr:to>
      <xdr:col>99</xdr:col>
      <xdr:colOff>200025</xdr:colOff>
      <xdr:row>53</xdr:row>
      <xdr:rowOff>19050</xdr:rowOff>
    </xdr:to>
    <xdr:cxnSp macro="">
      <xdr:nvCxnSpPr>
        <xdr:cNvPr id="308" name="Conector de seta reta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CxnSpPr/>
      </xdr:nvCxnSpPr>
      <xdr:spPr>
        <a:xfrm>
          <a:off x="1360170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133350</xdr:colOff>
      <xdr:row>55</xdr:row>
      <xdr:rowOff>19050</xdr:rowOff>
    </xdr:from>
    <xdr:to>
      <xdr:col>99</xdr:col>
      <xdr:colOff>190500</xdr:colOff>
      <xdr:row>55</xdr:row>
      <xdr:rowOff>19050</xdr:rowOff>
    </xdr:to>
    <xdr:cxnSp macro="">
      <xdr:nvCxnSpPr>
        <xdr:cNvPr id="309" name="Conector de seta reta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CxnSpPr/>
      </xdr:nvCxnSpPr>
      <xdr:spPr>
        <a:xfrm>
          <a:off x="1359217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95</xdr:col>
      <xdr:colOff>76200</xdr:colOff>
      <xdr:row>52</xdr:row>
      <xdr:rowOff>9525</xdr:rowOff>
    </xdr:from>
    <xdr:ext cx="184731" cy="264560"/>
    <xdr:sp macro="" textlink="">
      <xdr:nvSpPr>
        <xdr:cNvPr id="310" name="CaixaDeTexto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 txBox="1"/>
      </xdr:nvSpPr>
      <xdr:spPr>
        <a:xfrm>
          <a:off x="1330642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103</xdr:col>
      <xdr:colOff>123825</xdr:colOff>
      <xdr:row>53</xdr:row>
      <xdr:rowOff>47625</xdr:rowOff>
    </xdr:from>
    <xdr:to>
      <xdr:col>106</xdr:col>
      <xdr:colOff>180975</xdr:colOff>
      <xdr:row>53</xdr:row>
      <xdr:rowOff>47625</xdr:rowOff>
    </xdr:to>
    <xdr:cxnSp macro="">
      <xdr:nvCxnSpPr>
        <xdr:cNvPr id="311" name="Conector de seta reta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CxnSpPr/>
      </xdr:nvCxnSpPr>
      <xdr:spPr>
        <a:xfrm>
          <a:off x="14630400" y="705707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114300</xdr:colOff>
      <xdr:row>55</xdr:row>
      <xdr:rowOff>47625</xdr:rowOff>
    </xdr:from>
    <xdr:to>
      <xdr:col>106</xdr:col>
      <xdr:colOff>171450</xdr:colOff>
      <xdr:row>55</xdr:row>
      <xdr:rowOff>47625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/>
      </xdr:nvCxnSpPr>
      <xdr:spPr>
        <a:xfrm>
          <a:off x="14620875" y="708945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142875</xdr:colOff>
      <xdr:row>53</xdr:row>
      <xdr:rowOff>19050</xdr:rowOff>
    </xdr:from>
    <xdr:to>
      <xdr:col>114</xdr:col>
      <xdr:colOff>200025</xdr:colOff>
      <xdr:row>53</xdr:row>
      <xdr:rowOff>19050</xdr:rowOff>
    </xdr:to>
    <xdr:cxnSp macro="">
      <xdr:nvCxnSpPr>
        <xdr:cNvPr id="313" name="Conector de seta reta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CxnSpPr/>
      </xdr:nvCxnSpPr>
      <xdr:spPr>
        <a:xfrm>
          <a:off x="16478250" y="705421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133350</xdr:colOff>
      <xdr:row>55</xdr:row>
      <xdr:rowOff>19050</xdr:rowOff>
    </xdr:from>
    <xdr:to>
      <xdr:col>114</xdr:col>
      <xdr:colOff>190500</xdr:colOff>
      <xdr:row>55</xdr:row>
      <xdr:rowOff>19050</xdr:rowOff>
    </xdr:to>
    <xdr:cxnSp macro="">
      <xdr:nvCxnSpPr>
        <xdr:cNvPr id="314" name="Conector de seta reta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CxnSpPr/>
      </xdr:nvCxnSpPr>
      <xdr:spPr>
        <a:xfrm>
          <a:off x="16468725" y="7086600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110</xdr:col>
      <xdr:colOff>76200</xdr:colOff>
      <xdr:row>52</xdr:row>
      <xdr:rowOff>9525</xdr:rowOff>
    </xdr:from>
    <xdr:ext cx="184731" cy="264560"/>
    <xdr:sp macro="" textlink="">
      <xdr:nvSpPr>
        <xdr:cNvPr id="315" name="CaixaDeTexto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16182975" y="7033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123825</xdr:colOff>
      <xdr:row>16</xdr:row>
      <xdr:rowOff>160194</xdr:rowOff>
    </xdr:from>
    <xdr:to>
      <xdr:col>31</xdr:col>
      <xdr:colOff>180975</xdr:colOff>
      <xdr:row>16</xdr:row>
      <xdr:rowOff>160194</xdr:rowOff>
    </xdr:to>
    <xdr:cxnSp macro="">
      <xdr:nvCxnSpPr>
        <xdr:cNvPr id="316" name="Conector de seta reta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CxnSpPr/>
      </xdr:nvCxnSpPr>
      <xdr:spPr>
        <a:xfrm>
          <a:off x="5873461" y="2073853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114300</xdr:colOff>
      <xdr:row>19</xdr:row>
      <xdr:rowOff>47625</xdr:rowOff>
    </xdr:from>
    <xdr:to>
      <xdr:col>31</xdr:col>
      <xdr:colOff>171450</xdr:colOff>
      <xdr:row>19</xdr:row>
      <xdr:rowOff>47625</xdr:rowOff>
    </xdr:to>
    <xdr:cxnSp macro="">
      <xdr:nvCxnSpPr>
        <xdr:cNvPr id="317" name="Conector de seta reta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CxnSpPr/>
      </xdr:nvCxnSpPr>
      <xdr:spPr>
        <a:xfrm>
          <a:off x="3114675" y="66389250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17</xdr:row>
      <xdr:rowOff>19050</xdr:rowOff>
    </xdr:from>
    <xdr:to>
      <xdr:col>39</xdr:col>
      <xdr:colOff>200025</xdr:colOff>
      <xdr:row>17</xdr:row>
      <xdr:rowOff>19050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/>
      </xdr:nvCxnSpPr>
      <xdr:spPr>
        <a:xfrm>
          <a:off x="4972050" y="6603682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19</xdr:row>
      <xdr:rowOff>19050</xdr:rowOff>
    </xdr:from>
    <xdr:to>
      <xdr:col>39</xdr:col>
      <xdr:colOff>190500</xdr:colOff>
      <xdr:row>19</xdr:row>
      <xdr:rowOff>19050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/>
      </xdr:nvCxnSpPr>
      <xdr:spPr>
        <a:xfrm>
          <a:off x="4962525" y="66360675"/>
          <a:ext cx="742950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76200</xdr:colOff>
      <xdr:row>16</xdr:row>
      <xdr:rowOff>9525</xdr:rowOff>
    </xdr:from>
    <xdr:ext cx="184731" cy="264560"/>
    <xdr:sp macro="" textlink="">
      <xdr:nvSpPr>
        <xdr:cNvPr id="320" name="CaixaDeTexto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SpPr txBox="1"/>
      </xdr:nvSpPr>
      <xdr:spPr>
        <a:xfrm>
          <a:off x="4676775" y="65827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112568</xdr:colOff>
      <xdr:row>10</xdr:row>
      <xdr:rowOff>51955</xdr:rowOff>
    </xdr:from>
    <xdr:to>
      <xdr:col>31</xdr:col>
      <xdr:colOff>169718</xdr:colOff>
      <xdr:row>10</xdr:row>
      <xdr:rowOff>51955</xdr:rowOff>
    </xdr:to>
    <xdr:cxnSp macro="">
      <xdr:nvCxnSpPr>
        <xdr:cNvPr id="321" name="Conector de seta reta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CxnSpPr/>
      </xdr:nvCxnSpPr>
      <xdr:spPr>
        <a:xfrm>
          <a:off x="5862204" y="137679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122959</xdr:colOff>
      <xdr:row>18</xdr:row>
      <xdr:rowOff>12991</xdr:rowOff>
    </xdr:from>
    <xdr:to>
      <xdr:col>31</xdr:col>
      <xdr:colOff>180109</xdr:colOff>
      <xdr:row>18</xdr:row>
      <xdr:rowOff>12991</xdr:rowOff>
    </xdr:to>
    <xdr:cxnSp macro="">
      <xdr:nvCxnSpPr>
        <xdr:cNvPr id="322" name="Conector de seta reta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CxnSpPr/>
      </xdr:nvCxnSpPr>
      <xdr:spPr>
        <a:xfrm>
          <a:off x="5872595" y="117330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112568</xdr:colOff>
      <xdr:row>19</xdr:row>
      <xdr:rowOff>51955</xdr:rowOff>
    </xdr:from>
    <xdr:to>
      <xdr:col>31</xdr:col>
      <xdr:colOff>169718</xdr:colOff>
      <xdr:row>19</xdr:row>
      <xdr:rowOff>51955</xdr:rowOff>
    </xdr:to>
    <xdr:cxnSp macro="">
      <xdr:nvCxnSpPr>
        <xdr:cNvPr id="323" name="Conector de seta reta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CxnSpPr/>
      </xdr:nvCxnSpPr>
      <xdr:spPr>
        <a:xfrm>
          <a:off x="5862204" y="137679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122959</xdr:colOff>
      <xdr:row>27</xdr:row>
      <xdr:rowOff>12991</xdr:rowOff>
    </xdr:from>
    <xdr:to>
      <xdr:col>31</xdr:col>
      <xdr:colOff>180109</xdr:colOff>
      <xdr:row>27</xdr:row>
      <xdr:rowOff>12991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/>
      </xdr:nvCxnSpPr>
      <xdr:spPr>
        <a:xfrm>
          <a:off x="5872595" y="117330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112568</xdr:colOff>
      <xdr:row>28</xdr:row>
      <xdr:rowOff>51955</xdr:rowOff>
    </xdr:from>
    <xdr:to>
      <xdr:col>31</xdr:col>
      <xdr:colOff>169718</xdr:colOff>
      <xdr:row>28</xdr:row>
      <xdr:rowOff>51955</xdr:rowOff>
    </xdr:to>
    <xdr:cxnSp macro="">
      <xdr:nvCxnSpPr>
        <xdr:cNvPr id="325" name="Conector de seta reta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CxnSpPr/>
      </xdr:nvCxnSpPr>
      <xdr:spPr>
        <a:xfrm>
          <a:off x="5862204" y="137679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122959</xdr:colOff>
      <xdr:row>36</xdr:row>
      <xdr:rowOff>12991</xdr:rowOff>
    </xdr:from>
    <xdr:to>
      <xdr:col>31</xdr:col>
      <xdr:colOff>180109</xdr:colOff>
      <xdr:row>36</xdr:row>
      <xdr:rowOff>12991</xdr:rowOff>
    </xdr:to>
    <xdr:cxnSp macro="">
      <xdr:nvCxnSpPr>
        <xdr:cNvPr id="326" name="Conector de seta reta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CxnSpPr/>
      </xdr:nvCxnSpPr>
      <xdr:spPr>
        <a:xfrm>
          <a:off x="5872595" y="117330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112568</xdr:colOff>
      <xdr:row>37</xdr:row>
      <xdr:rowOff>51955</xdr:rowOff>
    </xdr:from>
    <xdr:to>
      <xdr:col>31</xdr:col>
      <xdr:colOff>169718</xdr:colOff>
      <xdr:row>37</xdr:row>
      <xdr:rowOff>51955</xdr:rowOff>
    </xdr:to>
    <xdr:cxnSp macro="">
      <xdr:nvCxnSpPr>
        <xdr:cNvPr id="327" name="Conector de seta reta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CxnSpPr/>
      </xdr:nvCxnSpPr>
      <xdr:spPr>
        <a:xfrm>
          <a:off x="5862204" y="137679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122959</xdr:colOff>
      <xdr:row>45</xdr:row>
      <xdr:rowOff>12991</xdr:rowOff>
    </xdr:from>
    <xdr:to>
      <xdr:col>31</xdr:col>
      <xdr:colOff>180109</xdr:colOff>
      <xdr:row>45</xdr:row>
      <xdr:rowOff>12991</xdr:rowOff>
    </xdr:to>
    <xdr:cxnSp macro="">
      <xdr:nvCxnSpPr>
        <xdr:cNvPr id="328" name="Conector de seta reta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CxnSpPr/>
      </xdr:nvCxnSpPr>
      <xdr:spPr>
        <a:xfrm>
          <a:off x="5872595" y="117330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112568</xdr:colOff>
      <xdr:row>46</xdr:row>
      <xdr:rowOff>51955</xdr:rowOff>
    </xdr:from>
    <xdr:to>
      <xdr:col>31</xdr:col>
      <xdr:colOff>169718</xdr:colOff>
      <xdr:row>46</xdr:row>
      <xdr:rowOff>51955</xdr:rowOff>
    </xdr:to>
    <xdr:cxnSp macro="">
      <xdr:nvCxnSpPr>
        <xdr:cNvPr id="329" name="Conector de seta reta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CxnSpPr/>
      </xdr:nvCxnSpPr>
      <xdr:spPr>
        <a:xfrm>
          <a:off x="5862204" y="137679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122959</xdr:colOff>
      <xdr:row>54</xdr:row>
      <xdr:rowOff>12991</xdr:rowOff>
    </xdr:from>
    <xdr:to>
      <xdr:col>31</xdr:col>
      <xdr:colOff>180109</xdr:colOff>
      <xdr:row>54</xdr:row>
      <xdr:rowOff>12991</xdr:rowOff>
    </xdr:to>
    <xdr:cxnSp macro="">
      <xdr:nvCxnSpPr>
        <xdr:cNvPr id="330" name="Conector de seta reta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CxnSpPr/>
      </xdr:nvCxnSpPr>
      <xdr:spPr>
        <a:xfrm>
          <a:off x="5872595" y="117330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112568</xdr:colOff>
      <xdr:row>55</xdr:row>
      <xdr:rowOff>51955</xdr:rowOff>
    </xdr:from>
    <xdr:to>
      <xdr:col>31</xdr:col>
      <xdr:colOff>169718</xdr:colOff>
      <xdr:row>55</xdr:row>
      <xdr:rowOff>51955</xdr:rowOff>
    </xdr:to>
    <xdr:cxnSp macro="">
      <xdr:nvCxnSpPr>
        <xdr:cNvPr id="331" name="Conector de seta reta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CxnSpPr/>
      </xdr:nvCxnSpPr>
      <xdr:spPr>
        <a:xfrm>
          <a:off x="5862204" y="1376796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86586</xdr:rowOff>
    </xdr:from>
    <xdr:to>
      <xdr:col>16</xdr:col>
      <xdr:colOff>79007</xdr:colOff>
      <xdr:row>29</xdr:row>
      <xdr:rowOff>112825</xdr:rowOff>
    </xdr:to>
    <xdr:grpSp>
      <xdr:nvGrpSpPr>
        <xdr:cNvPr id="231" name="Grupo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pSpPr/>
      </xdr:nvGrpSpPr>
      <xdr:grpSpPr>
        <a:xfrm>
          <a:off x="0" y="312364"/>
          <a:ext cx="4143007" cy="3575183"/>
          <a:chOff x="935184" y="528200"/>
          <a:chExt cx="3542643" cy="3429262"/>
        </a:xfrm>
      </xdr:grpSpPr>
      <xdr:grpSp>
        <xdr:nvGrpSpPr>
          <xdr:cNvPr id="353" name="Grupo 352">
            <a:extLst>
              <a:ext uri="{FF2B5EF4-FFF2-40B4-BE49-F238E27FC236}">
                <a16:creationId xmlns:a16="http://schemas.microsoft.com/office/drawing/2014/main" id="{00000000-0008-0000-0200-000061010000}"/>
              </a:ext>
            </a:extLst>
          </xdr:cNvPr>
          <xdr:cNvGrpSpPr/>
        </xdr:nvGrpSpPr>
        <xdr:grpSpPr>
          <a:xfrm>
            <a:off x="935184" y="528200"/>
            <a:ext cx="3542643" cy="3429262"/>
            <a:chOff x="2" y="1350818"/>
            <a:chExt cx="3542643" cy="3429262"/>
          </a:xfrm>
        </xdr:grpSpPr>
        <xdr:grpSp>
          <xdr:nvGrpSpPr>
            <xdr:cNvPr id="336" name="Grupo 335">
              <a:extLst>
                <a:ext uri="{FF2B5EF4-FFF2-40B4-BE49-F238E27FC236}">
                  <a16:creationId xmlns:a16="http://schemas.microsoft.com/office/drawing/2014/main" id="{00000000-0008-0000-0200-000050010000}"/>
                </a:ext>
              </a:extLst>
            </xdr:cNvPr>
            <xdr:cNvGrpSpPr/>
          </xdr:nvGrpSpPr>
          <xdr:grpSpPr>
            <a:xfrm>
              <a:off x="2" y="2236644"/>
              <a:ext cx="3542643" cy="2543436"/>
              <a:chOff x="6134100" y="5057775"/>
              <a:chExt cx="4610100" cy="2533650"/>
            </a:xfrm>
          </xdr:grpSpPr>
          <xdr:grpSp>
            <xdr:nvGrpSpPr>
              <xdr:cNvPr id="337" name="Grupo 12">
                <a:extLst>
                  <a:ext uri="{FF2B5EF4-FFF2-40B4-BE49-F238E27FC236}">
                    <a16:creationId xmlns:a16="http://schemas.microsoft.com/office/drawing/2014/main" id="{00000000-0008-0000-0200-000051010000}"/>
                  </a:ext>
                </a:extLst>
              </xdr:cNvPr>
              <xdr:cNvGrpSpPr/>
            </xdr:nvGrpSpPr>
            <xdr:grpSpPr>
              <a:xfrm>
                <a:off x="6134100" y="5057775"/>
                <a:ext cx="4542572" cy="2533650"/>
                <a:chOff x="6048374" y="5057775"/>
                <a:chExt cx="4286251" cy="2533650"/>
              </a:xfrm>
            </xdr:grpSpPr>
            <xdr:sp macro="" textlink="">
              <xdr:nvSpPr>
                <xdr:cNvPr id="340" name="Retângulo 339">
                  <a:extLst>
                    <a:ext uri="{FF2B5EF4-FFF2-40B4-BE49-F238E27FC236}">
                      <a16:creationId xmlns:a16="http://schemas.microsoft.com/office/drawing/2014/main" id="{00000000-0008-0000-0200-000054010000}"/>
                    </a:ext>
                  </a:extLst>
                </xdr:cNvPr>
                <xdr:cNvSpPr/>
              </xdr:nvSpPr>
              <xdr:spPr>
                <a:xfrm>
                  <a:off x="7639050" y="5410200"/>
                  <a:ext cx="1257300" cy="742950"/>
                </a:xfrm>
                <a:prstGeom prst="rect">
                  <a:avLst/>
                </a:prstGeom>
              </xdr:spPr>
              <xdr:style>
                <a:lnRef idx="0">
                  <a:schemeClr val="accent6"/>
                </a:lnRef>
                <a:fillRef idx="3">
                  <a:schemeClr val="accent6"/>
                </a:fillRef>
                <a:effectRef idx="3">
                  <a:schemeClr val="accent6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r>
                    <a:rPr lang="en-US" sz="1100"/>
                    <a:t>SALDO LÍQUÍDO</a:t>
                  </a:r>
                  <a:r>
                    <a:rPr lang="en-US" sz="1100" baseline="0"/>
                    <a:t> REAL = A+B-C-D  </a:t>
                  </a:r>
                  <a:endParaRPr lang="en-US" sz="1100"/>
                </a:p>
              </xdr:txBody>
            </xdr:sp>
            <xdr:sp macro="" textlink="">
              <xdr:nvSpPr>
                <xdr:cNvPr id="341" name="CaixaDeTexto 340">
                  <a:extLst>
                    <a:ext uri="{FF2B5EF4-FFF2-40B4-BE49-F238E27FC236}">
                      <a16:creationId xmlns:a16="http://schemas.microsoft.com/office/drawing/2014/main" id="{00000000-0008-0000-0200-000055010000}"/>
                    </a:ext>
                  </a:extLst>
                </xdr:cNvPr>
                <xdr:cNvSpPr txBox="1"/>
              </xdr:nvSpPr>
              <xdr:spPr>
                <a:xfrm>
                  <a:off x="6048374" y="5448300"/>
                  <a:ext cx="1152525" cy="695325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ctr"/>
                  <a:r>
                    <a:rPr lang="en-US" sz="1100" b="1"/>
                    <a:t>Entrada1(A): </a:t>
                  </a:r>
                  <a:r>
                    <a:rPr lang="en-US" sz="1100" b="1" baseline="0"/>
                    <a:t> </a:t>
                  </a:r>
                </a:p>
                <a:p>
                  <a:pPr algn="ctr"/>
                  <a:r>
                    <a:rPr lang="en-US" sz="800" baseline="0"/>
                    <a:t>Salário Pri</a:t>
                  </a:r>
                </a:p>
                <a:p>
                  <a:pPr algn="ctr"/>
                  <a:r>
                    <a:rPr lang="en-US" sz="800" baseline="0"/>
                    <a:t>Salário Ronaldo</a:t>
                  </a:r>
                  <a:endParaRPr lang="en-US" sz="800"/>
                </a:p>
              </xdr:txBody>
            </xdr:sp>
            <xdr:sp macro="" textlink="">
              <xdr:nvSpPr>
                <xdr:cNvPr id="342" name="CaixaDeTexto 341">
                  <a:extLst>
                    <a:ext uri="{FF2B5EF4-FFF2-40B4-BE49-F238E27FC236}">
                      <a16:creationId xmlns:a16="http://schemas.microsoft.com/office/drawing/2014/main" id="{00000000-0008-0000-0200-000056010000}"/>
                    </a:ext>
                  </a:extLst>
                </xdr:cNvPr>
                <xdr:cNvSpPr txBox="1"/>
              </xdr:nvSpPr>
              <xdr:spPr>
                <a:xfrm>
                  <a:off x="7524750" y="6581775"/>
                  <a:ext cx="1514475" cy="1009650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ctr"/>
                  <a:r>
                    <a:rPr lang="en-US" sz="1100" b="1"/>
                    <a:t>Entrada2 (B): </a:t>
                  </a:r>
                  <a:r>
                    <a:rPr lang="en-US" sz="1100" b="1" baseline="0"/>
                    <a:t> </a:t>
                  </a:r>
                </a:p>
                <a:p>
                  <a:pPr algn="ctr"/>
                  <a:r>
                    <a:rPr lang="en-US" sz="800" baseline="0"/>
                    <a:t>1) Saldos do mês anterior-CC, Pop.</a:t>
                  </a:r>
                </a:p>
              </xdr:txBody>
            </xdr:sp>
            <xdr:cxnSp macro="">
              <xdr:nvCxnSpPr>
                <xdr:cNvPr id="343" name="Conector de seta reta 342">
                  <a:extLst>
                    <a:ext uri="{FF2B5EF4-FFF2-40B4-BE49-F238E27FC236}">
                      <a16:creationId xmlns:a16="http://schemas.microsoft.com/office/drawing/2014/main" id="{00000000-0008-0000-0200-000057010000}"/>
                    </a:ext>
                  </a:extLst>
                </xdr:cNvPr>
                <xdr:cNvCxnSpPr/>
              </xdr:nvCxnSpPr>
              <xdr:spPr>
                <a:xfrm>
                  <a:off x="6905625" y="5791200"/>
                  <a:ext cx="714375" cy="0"/>
                </a:xfrm>
                <a:prstGeom prst="straightConnector1">
                  <a:avLst/>
                </a:prstGeom>
                <a:ln w="19050">
                  <a:solidFill>
                    <a:srgbClr val="0000FF"/>
                  </a:solidFill>
                  <a:headEnd type="none" w="med" len="med"/>
                  <a:tailEnd type="triangl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44" name="Conector de seta reta 343">
                  <a:extLst>
                    <a:ext uri="{FF2B5EF4-FFF2-40B4-BE49-F238E27FC236}">
                      <a16:creationId xmlns:a16="http://schemas.microsoft.com/office/drawing/2014/main" id="{00000000-0008-0000-0200-000058010000}"/>
                    </a:ext>
                  </a:extLst>
                </xdr:cNvPr>
                <xdr:cNvCxnSpPr/>
              </xdr:nvCxnSpPr>
              <xdr:spPr>
                <a:xfrm flipV="1">
                  <a:off x="8267700" y="6153150"/>
                  <a:ext cx="0" cy="581025"/>
                </a:xfrm>
                <a:prstGeom prst="straightConnector1">
                  <a:avLst/>
                </a:prstGeom>
                <a:ln w="19050">
                  <a:solidFill>
                    <a:srgbClr val="0000FF"/>
                  </a:solidFill>
                  <a:headEnd type="none" w="med" len="med"/>
                  <a:tailEnd type="triangl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345" name="CaixaDeTexto 344">
                  <a:extLst>
                    <a:ext uri="{FF2B5EF4-FFF2-40B4-BE49-F238E27FC236}">
                      <a16:creationId xmlns:a16="http://schemas.microsoft.com/office/drawing/2014/main" id="{00000000-0008-0000-0200-000059010000}"/>
                    </a:ext>
                  </a:extLst>
                </xdr:cNvPr>
                <xdr:cNvSpPr txBox="1"/>
              </xdr:nvSpPr>
              <xdr:spPr>
                <a:xfrm>
                  <a:off x="9182100" y="5057775"/>
                  <a:ext cx="1152525" cy="695325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ctr"/>
                  <a:r>
                    <a:rPr lang="en-US" sz="1100" b="1"/>
                    <a:t>Saída1 (C): </a:t>
                  </a:r>
                  <a:r>
                    <a:rPr lang="en-US" sz="1100" b="1" baseline="0"/>
                    <a:t> </a:t>
                  </a:r>
                </a:p>
                <a:p>
                  <a:pPr algn="ctr"/>
                  <a:r>
                    <a:rPr lang="en-US" sz="800" baseline="0"/>
                    <a:t>Despesas Reais do Mês</a:t>
                  </a:r>
                  <a:endParaRPr lang="en-US" sz="800"/>
                </a:p>
              </xdr:txBody>
            </xdr:sp>
            <xdr:cxnSp macro="">
              <xdr:nvCxnSpPr>
                <xdr:cNvPr id="346" name="Conector de seta reta 345">
                  <a:extLst>
                    <a:ext uri="{FF2B5EF4-FFF2-40B4-BE49-F238E27FC236}">
                      <a16:creationId xmlns:a16="http://schemas.microsoft.com/office/drawing/2014/main" id="{00000000-0008-0000-0200-00005A010000}"/>
                    </a:ext>
                  </a:extLst>
                </xdr:cNvPr>
                <xdr:cNvCxnSpPr/>
              </xdr:nvCxnSpPr>
              <xdr:spPr>
                <a:xfrm>
                  <a:off x="8896350" y="5629275"/>
                  <a:ext cx="714375" cy="0"/>
                </a:xfrm>
                <a:prstGeom prst="straightConnector1">
                  <a:avLst/>
                </a:prstGeom>
                <a:ln w="19050">
                  <a:solidFill>
                    <a:srgbClr val="0000FF"/>
                  </a:solidFill>
                  <a:headEnd type="none" w="med" len="med"/>
                  <a:tailEnd type="triangl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338" name="CaixaDeTexto 337">
                <a:extLst>
                  <a:ext uri="{FF2B5EF4-FFF2-40B4-BE49-F238E27FC236}">
                    <a16:creationId xmlns:a16="http://schemas.microsoft.com/office/drawing/2014/main" id="{00000000-0008-0000-0200-000052010000}"/>
                  </a:ext>
                </a:extLst>
              </xdr:cNvPr>
              <xdr:cNvSpPr txBox="1"/>
            </xdr:nvSpPr>
            <xdr:spPr>
              <a:xfrm>
                <a:off x="9591675" y="5810250"/>
                <a:ext cx="1152525" cy="1090857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ctr"/>
                <a:r>
                  <a:rPr lang="en-US" sz="1100" b="1"/>
                  <a:t>Saída2 (D): </a:t>
                </a:r>
                <a:r>
                  <a:rPr lang="en-US" sz="1100" b="1" baseline="0"/>
                  <a:t> </a:t>
                </a:r>
              </a:p>
              <a:p>
                <a:pPr algn="ctr"/>
                <a:r>
                  <a:rPr lang="en-US" sz="800" baseline="0"/>
                  <a:t>Despesas descontadas dos  salários (OBS: se </a:t>
                </a:r>
              </a:p>
              <a:p>
                <a:pPr algn="ctr"/>
                <a:r>
                  <a:rPr lang="en-US" sz="800" baseline="0"/>
                  <a:t> colocar A-D deve ficar em branco</a:t>
                </a:r>
                <a:endParaRPr lang="en-US" sz="800"/>
              </a:p>
            </xdr:txBody>
          </xdr:sp>
          <xdr:cxnSp macro="">
            <xdr:nvCxnSpPr>
              <xdr:cNvPr id="339" name="Conector de seta reta 338">
                <a:extLst>
                  <a:ext uri="{FF2B5EF4-FFF2-40B4-BE49-F238E27FC236}">
                    <a16:creationId xmlns:a16="http://schemas.microsoft.com/office/drawing/2014/main" id="{00000000-0008-0000-0200-000053010000}"/>
                  </a:ext>
                </a:extLst>
              </xdr:cNvPr>
              <xdr:cNvCxnSpPr/>
            </xdr:nvCxnSpPr>
            <xdr:spPr>
              <a:xfrm>
                <a:off x="9153525" y="5915025"/>
                <a:ext cx="790575" cy="0"/>
              </a:xfrm>
              <a:prstGeom prst="straightConnector1">
                <a:avLst/>
              </a:prstGeom>
              <a:ln w="19050">
                <a:solidFill>
                  <a:srgbClr val="0000FF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52" name="CaixaDeTexto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SpPr txBox="1"/>
          </xdr:nvSpPr>
          <xdr:spPr>
            <a:xfrm>
              <a:off x="1246911" y="1350818"/>
              <a:ext cx="1233398" cy="101354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100" b="1"/>
                <a:t>Entrada2 (E): </a:t>
              </a:r>
              <a:r>
                <a:rPr lang="en-US" sz="1100" b="1" baseline="0"/>
                <a:t> </a:t>
              </a:r>
            </a:p>
            <a:p>
              <a:pPr algn="ctr"/>
              <a:r>
                <a:rPr lang="en-US" sz="800" baseline="0"/>
                <a:t>2) Outras entradas como depositos terceiros, promoções, etc.</a:t>
              </a:r>
              <a:endParaRPr lang="en-US" sz="800"/>
            </a:p>
          </xdr:txBody>
        </xdr:sp>
      </xdr:grpSp>
      <xdr:cxnSp macro="">
        <xdr:nvCxnSpPr>
          <xdr:cNvPr id="354" name="Conector de seta reta 353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CxnSpPr/>
        </xdr:nvCxnSpPr>
        <xdr:spPr>
          <a:xfrm>
            <a:off x="2718956" y="1293316"/>
            <a:ext cx="8659" cy="447162"/>
          </a:xfrm>
          <a:prstGeom prst="straightConnector1">
            <a:avLst/>
          </a:prstGeom>
          <a:ln w="19050">
            <a:solidFill>
              <a:srgbClr val="0000FF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43</xdr:col>
      <xdr:colOff>123825</xdr:colOff>
      <xdr:row>7</xdr:row>
      <xdr:rowOff>177512</xdr:rowOff>
    </xdr:from>
    <xdr:to>
      <xdr:col>46</xdr:col>
      <xdr:colOff>180975</xdr:colOff>
      <xdr:row>7</xdr:row>
      <xdr:rowOff>177512</xdr:rowOff>
    </xdr:to>
    <xdr:cxnSp macro="">
      <xdr:nvCxnSpPr>
        <xdr:cNvPr id="227" name="Conector de seta reta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>
          <a:off x="5873461" y="6533285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142875</xdr:colOff>
      <xdr:row>8</xdr:row>
      <xdr:rowOff>19050</xdr:rowOff>
    </xdr:from>
    <xdr:to>
      <xdr:col>54</xdr:col>
      <xdr:colOff>200025</xdr:colOff>
      <xdr:row>8</xdr:row>
      <xdr:rowOff>19050</xdr:rowOff>
    </xdr:to>
    <xdr:cxnSp macro="">
      <xdr:nvCxnSpPr>
        <xdr:cNvPr id="257" name="Conector de seta reta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/>
      </xdr:nvCxnSpPr>
      <xdr:spPr>
        <a:xfrm>
          <a:off x="7693602" y="6573982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133350</xdr:colOff>
      <xdr:row>10</xdr:row>
      <xdr:rowOff>19050</xdr:rowOff>
    </xdr:from>
    <xdr:to>
      <xdr:col>54</xdr:col>
      <xdr:colOff>190500</xdr:colOff>
      <xdr:row>10</xdr:row>
      <xdr:rowOff>19050</xdr:rowOff>
    </xdr:to>
    <xdr:cxnSp macro="">
      <xdr:nvCxnSpPr>
        <xdr:cNvPr id="287" name="Conector de seta reta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CxnSpPr/>
      </xdr:nvCxnSpPr>
      <xdr:spPr>
        <a:xfrm>
          <a:off x="7684077" y="6903027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7</xdr:row>
      <xdr:rowOff>9525</xdr:rowOff>
    </xdr:from>
    <xdr:ext cx="184731" cy="264560"/>
    <xdr:sp macro="" textlink="">
      <xdr:nvSpPr>
        <xdr:cNvPr id="347" name="CaixaDeTexto 346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SpPr txBox="1"/>
      </xdr:nvSpPr>
      <xdr:spPr>
        <a:xfrm>
          <a:off x="7401791" y="636529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122959</xdr:colOff>
      <xdr:row>9</xdr:row>
      <xdr:rowOff>12991</xdr:rowOff>
    </xdr:from>
    <xdr:to>
      <xdr:col>46</xdr:col>
      <xdr:colOff>180109</xdr:colOff>
      <xdr:row>9</xdr:row>
      <xdr:rowOff>12991</xdr:rowOff>
    </xdr:to>
    <xdr:cxnSp macro="">
      <xdr:nvCxnSpPr>
        <xdr:cNvPr id="348" name="Conector de seta reta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CxnSpPr/>
      </xdr:nvCxnSpPr>
      <xdr:spPr>
        <a:xfrm>
          <a:off x="9158102" y="1090677"/>
          <a:ext cx="759278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112568</xdr:colOff>
      <xdr:row>10</xdr:row>
      <xdr:rowOff>41069</xdr:rowOff>
    </xdr:from>
    <xdr:to>
      <xdr:col>46</xdr:col>
      <xdr:colOff>169718</xdr:colOff>
      <xdr:row>10</xdr:row>
      <xdr:rowOff>41069</xdr:rowOff>
    </xdr:to>
    <xdr:cxnSp macro="">
      <xdr:nvCxnSpPr>
        <xdr:cNvPr id="349" name="Conector de seta reta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CxnSpPr/>
      </xdr:nvCxnSpPr>
      <xdr:spPr>
        <a:xfrm>
          <a:off x="9169482" y="1276598"/>
          <a:ext cx="75927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112568</xdr:colOff>
      <xdr:row>55</xdr:row>
      <xdr:rowOff>51956</xdr:rowOff>
    </xdr:from>
    <xdr:to>
      <xdr:col>31</xdr:col>
      <xdr:colOff>169718</xdr:colOff>
      <xdr:row>55</xdr:row>
      <xdr:rowOff>51956</xdr:rowOff>
    </xdr:to>
    <xdr:cxnSp macro="">
      <xdr:nvCxnSpPr>
        <xdr:cNvPr id="356" name="Conector de seta reta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5862204" y="6935933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16</xdr:row>
      <xdr:rowOff>9525</xdr:rowOff>
    </xdr:from>
    <xdr:ext cx="184731" cy="264560"/>
    <xdr:sp macro="" textlink="">
      <xdr:nvSpPr>
        <xdr:cNvPr id="364" name="CaixaDeTexto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123825</xdr:colOff>
      <xdr:row>16</xdr:row>
      <xdr:rowOff>177512</xdr:rowOff>
    </xdr:from>
    <xdr:to>
      <xdr:col>46</xdr:col>
      <xdr:colOff>180975</xdr:colOff>
      <xdr:row>16</xdr:row>
      <xdr:rowOff>177512</xdr:rowOff>
    </xdr:to>
    <xdr:cxnSp macro="">
      <xdr:nvCxnSpPr>
        <xdr:cNvPr id="365" name="Conector de seta reta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>
          <a:off x="8748280" y="87023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142875</xdr:colOff>
      <xdr:row>17</xdr:row>
      <xdr:rowOff>19050</xdr:rowOff>
    </xdr:from>
    <xdr:to>
      <xdr:col>54</xdr:col>
      <xdr:colOff>200025</xdr:colOff>
      <xdr:row>17</xdr:row>
      <xdr:rowOff>19050</xdr:rowOff>
    </xdr:to>
    <xdr:cxnSp macro="">
      <xdr:nvCxnSpPr>
        <xdr:cNvPr id="366" name="Conector de seta reta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CxnSpPr/>
      </xdr:nvCxnSpPr>
      <xdr:spPr>
        <a:xfrm>
          <a:off x="10568420" y="910936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133350</xdr:colOff>
      <xdr:row>19</xdr:row>
      <xdr:rowOff>19050</xdr:rowOff>
    </xdr:from>
    <xdr:to>
      <xdr:col>54</xdr:col>
      <xdr:colOff>190500</xdr:colOff>
      <xdr:row>19</xdr:row>
      <xdr:rowOff>19050</xdr:rowOff>
    </xdr:to>
    <xdr:cxnSp macro="">
      <xdr:nvCxnSpPr>
        <xdr:cNvPr id="367" name="Conector de seta reta 366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CxnSpPr/>
      </xdr:nvCxnSpPr>
      <xdr:spPr>
        <a:xfrm>
          <a:off x="10558895" y="1239982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16</xdr:row>
      <xdr:rowOff>9525</xdr:rowOff>
    </xdr:from>
    <xdr:ext cx="184731" cy="264560"/>
    <xdr:sp macro="" textlink="">
      <xdr:nvSpPr>
        <xdr:cNvPr id="368" name="CaixaDeTexto 367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122959</xdr:colOff>
      <xdr:row>18</xdr:row>
      <xdr:rowOff>12991</xdr:rowOff>
    </xdr:from>
    <xdr:to>
      <xdr:col>46</xdr:col>
      <xdr:colOff>180109</xdr:colOff>
      <xdr:row>18</xdr:row>
      <xdr:rowOff>12991</xdr:rowOff>
    </xdr:to>
    <xdr:cxnSp macro="">
      <xdr:nvCxnSpPr>
        <xdr:cNvPr id="369" name="Conector de seta reta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CxnSpPr/>
      </xdr:nvCxnSpPr>
      <xdr:spPr>
        <a:xfrm>
          <a:off x="8747414" y="1069400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112568</xdr:colOff>
      <xdr:row>19</xdr:row>
      <xdr:rowOff>51955</xdr:rowOff>
    </xdr:from>
    <xdr:to>
      <xdr:col>46</xdr:col>
      <xdr:colOff>169718</xdr:colOff>
      <xdr:row>19</xdr:row>
      <xdr:rowOff>51955</xdr:rowOff>
    </xdr:to>
    <xdr:cxnSp macro="">
      <xdr:nvCxnSpPr>
        <xdr:cNvPr id="370" name="Conector de seta reta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CxnSpPr/>
      </xdr:nvCxnSpPr>
      <xdr:spPr>
        <a:xfrm>
          <a:off x="8737023" y="1272887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25</xdr:row>
      <xdr:rowOff>9525</xdr:rowOff>
    </xdr:from>
    <xdr:ext cx="184731" cy="264560"/>
    <xdr:sp macro="" textlink="">
      <xdr:nvSpPr>
        <xdr:cNvPr id="371" name="CaixaDeTexto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123825</xdr:colOff>
      <xdr:row>25</xdr:row>
      <xdr:rowOff>177512</xdr:rowOff>
    </xdr:from>
    <xdr:to>
      <xdr:col>46</xdr:col>
      <xdr:colOff>180975</xdr:colOff>
      <xdr:row>25</xdr:row>
      <xdr:rowOff>177512</xdr:rowOff>
    </xdr:to>
    <xdr:cxnSp macro="">
      <xdr:nvCxnSpPr>
        <xdr:cNvPr id="372" name="Conector de seta reta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CxnSpPr/>
      </xdr:nvCxnSpPr>
      <xdr:spPr>
        <a:xfrm>
          <a:off x="8748280" y="87023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142875</xdr:colOff>
      <xdr:row>26</xdr:row>
      <xdr:rowOff>19050</xdr:rowOff>
    </xdr:from>
    <xdr:to>
      <xdr:col>54</xdr:col>
      <xdr:colOff>200025</xdr:colOff>
      <xdr:row>26</xdr:row>
      <xdr:rowOff>19050</xdr:rowOff>
    </xdr:to>
    <xdr:cxnSp macro="">
      <xdr:nvCxnSpPr>
        <xdr:cNvPr id="373" name="Conector de seta reta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CxnSpPr/>
      </xdr:nvCxnSpPr>
      <xdr:spPr>
        <a:xfrm>
          <a:off x="10568420" y="910936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133350</xdr:colOff>
      <xdr:row>28</xdr:row>
      <xdr:rowOff>19050</xdr:rowOff>
    </xdr:from>
    <xdr:to>
      <xdr:col>54</xdr:col>
      <xdr:colOff>190500</xdr:colOff>
      <xdr:row>28</xdr:row>
      <xdr:rowOff>19050</xdr:rowOff>
    </xdr:to>
    <xdr:cxnSp macro="">
      <xdr:nvCxnSpPr>
        <xdr:cNvPr id="374" name="Conector de seta reta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CxnSpPr/>
      </xdr:nvCxnSpPr>
      <xdr:spPr>
        <a:xfrm>
          <a:off x="10558895" y="1239982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25</xdr:row>
      <xdr:rowOff>9525</xdr:rowOff>
    </xdr:from>
    <xdr:ext cx="184731" cy="264560"/>
    <xdr:sp macro="" textlink="">
      <xdr:nvSpPr>
        <xdr:cNvPr id="375" name="CaixaDeText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122959</xdr:colOff>
      <xdr:row>27</xdr:row>
      <xdr:rowOff>12991</xdr:rowOff>
    </xdr:from>
    <xdr:to>
      <xdr:col>46</xdr:col>
      <xdr:colOff>180109</xdr:colOff>
      <xdr:row>27</xdr:row>
      <xdr:rowOff>12991</xdr:rowOff>
    </xdr:to>
    <xdr:cxnSp macro="">
      <xdr:nvCxnSpPr>
        <xdr:cNvPr id="376" name="Conector de seta reta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CxnSpPr/>
      </xdr:nvCxnSpPr>
      <xdr:spPr>
        <a:xfrm>
          <a:off x="8747414" y="1069400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112568</xdr:colOff>
      <xdr:row>28</xdr:row>
      <xdr:rowOff>51955</xdr:rowOff>
    </xdr:from>
    <xdr:to>
      <xdr:col>46</xdr:col>
      <xdr:colOff>169718</xdr:colOff>
      <xdr:row>28</xdr:row>
      <xdr:rowOff>51955</xdr:rowOff>
    </xdr:to>
    <xdr:cxnSp macro="">
      <xdr:nvCxnSpPr>
        <xdr:cNvPr id="377" name="Conector de seta reta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CxnSpPr/>
      </xdr:nvCxnSpPr>
      <xdr:spPr>
        <a:xfrm>
          <a:off x="8737023" y="1272887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34</xdr:row>
      <xdr:rowOff>9525</xdr:rowOff>
    </xdr:from>
    <xdr:ext cx="184731" cy="264560"/>
    <xdr:sp macro="" textlink="">
      <xdr:nvSpPr>
        <xdr:cNvPr id="378" name="CaixaDeTexto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123825</xdr:colOff>
      <xdr:row>34</xdr:row>
      <xdr:rowOff>177512</xdr:rowOff>
    </xdr:from>
    <xdr:to>
      <xdr:col>46</xdr:col>
      <xdr:colOff>180975</xdr:colOff>
      <xdr:row>34</xdr:row>
      <xdr:rowOff>177512</xdr:rowOff>
    </xdr:to>
    <xdr:cxnSp macro="">
      <xdr:nvCxnSpPr>
        <xdr:cNvPr id="379" name="Conector de seta reta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CxnSpPr/>
      </xdr:nvCxnSpPr>
      <xdr:spPr>
        <a:xfrm>
          <a:off x="8748280" y="87023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142875</xdr:colOff>
      <xdr:row>35</xdr:row>
      <xdr:rowOff>19050</xdr:rowOff>
    </xdr:from>
    <xdr:to>
      <xdr:col>54</xdr:col>
      <xdr:colOff>200025</xdr:colOff>
      <xdr:row>35</xdr:row>
      <xdr:rowOff>19050</xdr:rowOff>
    </xdr:to>
    <xdr:cxnSp macro="">
      <xdr:nvCxnSpPr>
        <xdr:cNvPr id="380" name="Conector de seta reta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CxnSpPr/>
      </xdr:nvCxnSpPr>
      <xdr:spPr>
        <a:xfrm>
          <a:off x="10568420" y="910936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133350</xdr:colOff>
      <xdr:row>37</xdr:row>
      <xdr:rowOff>19050</xdr:rowOff>
    </xdr:from>
    <xdr:to>
      <xdr:col>54</xdr:col>
      <xdr:colOff>190500</xdr:colOff>
      <xdr:row>37</xdr:row>
      <xdr:rowOff>19050</xdr:rowOff>
    </xdr:to>
    <xdr:cxnSp macro="">
      <xdr:nvCxnSpPr>
        <xdr:cNvPr id="381" name="Conector de seta reta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CxnSpPr/>
      </xdr:nvCxnSpPr>
      <xdr:spPr>
        <a:xfrm>
          <a:off x="10558895" y="1239982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34</xdr:row>
      <xdr:rowOff>9525</xdr:rowOff>
    </xdr:from>
    <xdr:ext cx="184731" cy="264560"/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122959</xdr:colOff>
      <xdr:row>36</xdr:row>
      <xdr:rowOff>12991</xdr:rowOff>
    </xdr:from>
    <xdr:to>
      <xdr:col>46</xdr:col>
      <xdr:colOff>180109</xdr:colOff>
      <xdr:row>36</xdr:row>
      <xdr:rowOff>12991</xdr:rowOff>
    </xdr:to>
    <xdr:cxnSp macro="">
      <xdr:nvCxnSpPr>
        <xdr:cNvPr id="383" name="Conector de seta reta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/>
      </xdr:nvCxnSpPr>
      <xdr:spPr>
        <a:xfrm>
          <a:off x="8747414" y="1069400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112568</xdr:colOff>
      <xdr:row>37</xdr:row>
      <xdr:rowOff>51955</xdr:rowOff>
    </xdr:from>
    <xdr:to>
      <xdr:col>46</xdr:col>
      <xdr:colOff>169718</xdr:colOff>
      <xdr:row>37</xdr:row>
      <xdr:rowOff>51955</xdr:rowOff>
    </xdr:to>
    <xdr:cxnSp macro="">
      <xdr:nvCxnSpPr>
        <xdr:cNvPr id="384" name="Conector de seta reta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CxnSpPr/>
      </xdr:nvCxnSpPr>
      <xdr:spPr>
        <a:xfrm>
          <a:off x="8737023" y="1272887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43</xdr:row>
      <xdr:rowOff>9525</xdr:rowOff>
    </xdr:from>
    <xdr:ext cx="184731" cy="264560"/>
    <xdr:sp macro="" textlink="">
      <xdr:nvSpPr>
        <xdr:cNvPr id="385" name="CaixaDeTexto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123825</xdr:colOff>
      <xdr:row>43</xdr:row>
      <xdr:rowOff>177512</xdr:rowOff>
    </xdr:from>
    <xdr:to>
      <xdr:col>46</xdr:col>
      <xdr:colOff>180975</xdr:colOff>
      <xdr:row>43</xdr:row>
      <xdr:rowOff>177512</xdr:rowOff>
    </xdr:to>
    <xdr:cxnSp macro="">
      <xdr:nvCxnSpPr>
        <xdr:cNvPr id="386" name="Conector de seta reta 385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CxnSpPr/>
      </xdr:nvCxnSpPr>
      <xdr:spPr>
        <a:xfrm>
          <a:off x="8748280" y="87023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142875</xdr:colOff>
      <xdr:row>44</xdr:row>
      <xdr:rowOff>19050</xdr:rowOff>
    </xdr:from>
    <xdr:to>
      <xdr:col>54</xdr:col>
      <xdr:colOff>200025</xdr:colOff>
      <xdr:row>44</xdr:row>
      <xdr:rowOff>19050</xdr:rowOff>
    </xdr:to>
    <xdr:cxnSp macro="">
      <xdr:nvCxnSpPr>
        <xdr:cNvPr id="387" name="Conector de seta reta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/>
      </xdr:nvCxnSpPr>
      <xdr:spPr>
        <a:xfrm>
          <a:off x="10568420" y="910936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133350</xdr:colOff>
      <xdr:row>46</xdr:row>
      <xdr:rowOff>19050</xdr:rowOff>
    </xdr:from>
    <xdr:to>
      <xdr:col>54</xdr:col>
      <xdr:colOff>190500</xdr:colOff>
      <xdr:row>46</xdr:row>
      <xdr:rowOff>19050</xdr:rowOff>
    </xdr:to>
    <xdr:cxnSp macro="">
      <xdr:nvCxnSpPr>
        <xdr:cNvPr id="388" name="Conector de seta reta 387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CxnSpPr/>
      </xdr:nvCxnSpPr>
      <xdr:spPr>
        <a:xfrm>
          <a:off x="10558895" y="1239982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43</xdr:row>
      <xdr:rowOff>9525</xdr:rowOff>
    </xdr:from>
    <xdr:ext cx="184731" cy="264560"/>
    <xdr:sp macro="" textlink="">
      <xdr:nvSpPr>
        <xdr:cNvPr id="389" name="CaixaDeTexto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122959</xdr:colOff>
      <xdr:row>45</xdr:row>
      <xdr:rowOff>12991</xdr:rowOff>
    </xdr:from>
    <xdr:to>
      <xdr:col>46</xdr:col>
      <xdr:colOff>180109</xdr:colOff>
      <xdr:row>45</xdr:row>
      <xdr:rowOff>12991</xdr:rowOff>
    </xdr:to>
    <xdr:cxnSp macro="">
      <xdr:nvCxnSpPr>
        <xdr:cNvPr id="390" name="Conector de seta reta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CxnSpPr/>
      </xdr:nvCxnSpPr>
      <xdr:spPr>
        <a:xfrm>
          <a:off x="8747414" y="1069400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112568</xdr:colOff>
      <xdr:row>46</xdr:row>
      <xdr:rowOff>51955</xdr:rowOff>
    </xdr:from>
    <xdr:to>
      <xdr:col>46</xdr:col>
      <xdr:colOff>169718</xdr:colOff>
      <xdr:row>46</xdr:row>
      <xdr:rowOff>51955</xdr:rowOff>
    </xdr:to>
    <xdr:cxnSp macro="">
      <xdr:nvCxnSpPr>
        <xdr:cNvPr id="391" name="Conector de seta reta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CxnSpPr/>
      </xdr:nvCxnSpPr>
      <xdr:spPr>
        <a:xfrm>
          <a:off x="8737023" y="1272887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52</xdr:row>
      <xdr:rowOff>9525</xdr:rowOff>
    </xdr:from>
    <xdr:ext cx="184731" cy="264560"/>
    <xdr:sp macro="" textlink="">
      <xdr:nvSpPr>
        <xdr:cNvPr id="392" name="CaixaDeText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123825</xdr:colOff>
      <xdr:row>52</xdr:row>
      <xdr:rowOff>177512</xdr:rowOff>
    </xdr:from>
    <xdr:to>
      <xdr:col>46</xdr:col>
      <xdr:colOff>180975</xdr:colOff>
      <xdr:row>52</xdr:row>
      <xdr:rowOff>177512</xdr:rowOff>
    </xdr:to>
    <xdr:cxnSp macro="">
      <xdr:nvCxnSpPr>
        <xdr:cNvPr id="393" name="Conector de seta reta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CxnSpPr/>
      </xdr:nvCxnSpPr>
      <xdr:spPr>
        <a:xfrm>
          <a:off x="8748280" y="870239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142875</xdr:colOff>
      <xdr:row>53</xdr:row>
      <xdr:rowOff>19050</xdr:rowOff>
    </xdr:from>
    <xdr:to>
      <xdr:col>54</xdr:col>
      <xdr:colOff>200025</xdr:colOff>
      <xdr:row>53</xdr:row>
      <xdr:rowOff>19050</xdr:rowOff>
    </xdr:to>
    <xdr:cxnSp macro="">
      <xdr:nvCxnSpPr>
        <xdr:cNvPr id="394" name="Conector de seta reta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CxnSpPr/>
      </xdr:nvCxnSpPr>
      <xdr:spPr>
        <a:xfrm>
          <a:off x="10568420" y="910936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133350</xdr:colOff>
      <xdr:row>55</xdr:row>
      <xdr:rowOff>19050</xdr:rowOff>
    </xdr:from>
    <xdr:to>
      <xdr:col>54</xdr:col>
      <xdr:colOff>190500</xdr:colOff>
      <xdr:row>55</xdr:row>
      <xdr:rowOff>19050</xdr:rowOff>
    </xdr:to>
    <xdr:cxnSp macro="">
      <xdr:nvCxnSpPr>
        <xdr:cNvPr id="395" name="Conector de seta reta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CxnSpPr/>
      </xdr:nvCxnSpPr>
      <xdr:spPr>
        <a:xfrm>
          <a:off x="10558895" y="1239982"/>
          <a:ext cx="775855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76200</xdr:colOff>
      <xdr:row>52</xdr:row>
      <xdr:rowOff>9525</xdr:rowOff>
    </xdr:from>
    <xdr:ext cx="184731" cy="264560"/>
    <xdr:sp macro="" textlink="">
      <xdr:nvSpPr>
        <xdr:cNvPr id="396" name="CaixaDeText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10276609" y="702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43</xdr:col>
      <xdr:colOff>122959</xdr:colOff>
      <xdr:row>54</xdr:row>
      <xdr:rowOff>12991</xdr:rowOff>
    </xdr:from>
    <xdr:to>
      <xdr:col>46</xdr:col>
      <xdr:colOff>180109</xdr:colOff>
      <xdr:row>54</xdr:row>
      <xdr:rowOff>12991</xdr:rowOff>
    </xdr:to>
    <xdr:cxnSp macro="">
      <xdr:nvCxnSpPr>
        <xdr:cNvPr id="397" name="Conector de seta reta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8747414" y="1069400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112568</xdr:colOff>
      <xdr:row>55</xdr:row>
      <xdr:rowOff>51955</xdr:rowOff>
    </xdr:from>
    <xdr:to>
      <xdr:col>46</xdr:col>
      <xdr:colOff>169718</xdr:colOff>
      <xdr:row>55</xdr:row>
      <xdr:rowOff>51955</xdr:rowOff>
    </xdr:to>
    <xdr:cxnSp macro="">
      <xdr:nvCxnSpPr>
        <xdr:cNvPr id="398" name="Conector de seta reta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CxnSpPr/>
      </xdr:nvCxnSpPr>
      <xdr:spPr>
        <a:xfrm>
          <a:off x="8737023" y="1272887"/>
          <a:ext cx="732559" cy="0"/>
        </a:xfrm>
        <a:prstGeom prst="straightConnector1">
          <a:avLst/>
        </a:prstGeom>
        <a:ln w="3175"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207819</xdr:colOff>
      <xdr:row>6</xdr:row>
      <xdr:rowOff>164522</xdr:rowOff>
    </xdr:from>
    <xdr:to>
      <xdr:col>36</xdr:col>
      <xdr:colOff>17318</xdr:colOff>
      <xdr:row>11</xdr:row>
      <xdr:rowOff>17318</xdr:rowOff>
    </xdr:to>
    <xdr:sp macro="" textlink="">
      <xdr:nvSpPr>
        <xdr:cNvPr id="233" name="Retângulo 232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/>
      </xdr:nvSpPr>
      <xdr:spPr>
        <a:xfrm>
          <a:off x="6632864" y="692727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31</xdr:col>
      <xdr:colOff>216478</xdr:colOff>
      <xdr:row>16</xdr:row>
      <xdr:rowOff>0</xdr:rowOff>
    </xdr:from>
    <xdr:to>
      <xdr:col>36</xdr:col>
      <xdr:colOff>25977</xdr:colOff>
      <xdr:row>20</xdr:row>
      <xdr:rowOff>17318</xdr:rowOff>
    </xdr:to>
    <xdr:sp macro="" textlink="">
      <xdr:nvSpPr>
        <xdr:cNvPr id="261" name="Retângulo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/>
      </xdr:nvSpPr>
      <xdr:spPr>
        <a:xfrm>
          <a:off x="6641523" y="1835727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31</xdr:col>
      <xdr:colOff>207819</xdr:colOff>
      <xdr:row>25</xdr:row>
      <xdr:rowOff>0</xdr:rowOff>
    </xdr:from>
    <xdr:to>
      <xdr:col>36</xdr:col>
      <xdr:colOff>17318</xdr:colOff>
      <xdr:row>29</xdr:row>
      <xdr:rowOff>17318</xdr:rowOff>
    </xdr:to>
    <xdr:sp macro="" textlink="">
      <xdr:nvSpPr>
        <xdr:cNvPr id="262" name="Retângulo 26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/>
      </xdr:nvSpPr>
      <xdr:spPr>
        <a:xfrm>
          <a:off x="6632864" y="2987386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31</xdr:col>
      <xdr:colOff>216478</xdr:colOff>
      <xdr:row>34</xdr:row>
      <xdr:rowOff>0</xdr:rowOff>
    </xdr:from>
    <xdr:to>
      <xdr:col>36</xdr:col>
      <xdr:colOff>25977</xdr:colOff>
      <xdr:row>38</xdr:row>
      <xdr:rowOff>17318</xdr:rowOff>
    </xdr:to>
    <xdr:sp macro="" textlink="">
      <xdr:nvSpPr>
        <xdr:cNvPr id="263" name="Retângulo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/>
      </xdr:nvSpPr>
      <xdr:spPr>
        <a:xfrm>
          <a:off x="6641523" y="4139045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31</xdr:col>
      <xdr:colOff>216478</xdr:colOff>
      <xdr:row>43</xdr:row>
      <xdr:rowOff>0</xdr:rowOff>
    </xdr:from>
    <xdr:to>
      <xdr:col>36</xdr:col>
      <xdr:colOff>25977</xdr:colOff>
      <xdr:row>47</xdr:row>
      <xdr:rowOff>17319</xdr:rowOff>
    </xdr:to>
    <xdr:sp macro="" textlink="">
      <xdr:nvSpPr>
        <xdr:cNvPr id="264" name="Retângulo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6641523" y="5308023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31</xdr:col>
      <xdr:colOff>216478</xdr:colOff>
      <xdr:row>52</xdr:row>
      <xdr:rowOff>0</xdr:rowOff>
    </xdr:from>
    <xdr:to>
      <xdr:col>36</xdr:col>
      <xdr:colOff>25977</xdr:colOff>
      <xdr:row>56</xdr:row>
      <xdr:rowOff>17319</xdr:rowOff>
    </xdr:to>
    <xdr:sp macro="" textlink="">
      <xdr:nvSpPr>
        <xdr:cNvPr id="265" name="Retângulo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/>
      </xdr:nvSpPr>
      <xdr:spPr>
        <a:xfrm>
          <a:off x="6641523" y="6485659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46</xdr:col>
      <xdr:colOff>216477</xdr:colOff>
      <xdr:row>16</xdr:row>
      <xdr:rowOff>0</xdr:rowOff>
    </xdr:from>
    <xdr:to>
      <xdr:col>51</xdr:col>
      <xdr:colOff>25977</xdr:colOff>
      <xdr:row>20</xdr:row>
      <xdr:rowOff>17318</xdr:rowOff>
    </xdr:to>
    <xdr:sp macro="" textlink="">
      <xdr:nvSpPr>
        <xdr:cNvPr id="232" name="Retângulo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SpPr/>
      </xdr:nvSpPr>
      <xdr:spPr>
        <a:xfrm>
          <a:off x="9516341" y="1835727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46</xdr:col>
      <xdr:colOff>207818</xdr:colOff>
      <xdr:row>25</xdr:row>
      <xdr:rowOff>0</xdr:rowOff>
    </xdr:from>
    <xdr:to>
      <xdr:col>51</xdr:col>
      <xdr:colOff>17318</xdr:colOff>
      <xdr:row>29</xdr:row>
      <xdr:rowOff>17318</xdr:rowOff>
    </xdr:to>
    <xdr:sp macro="" textlink="">
      <xdr:nvSpPr>
        <xdr:cNvPr id="234" name="Retângulo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/>
      </xdr:nvSpPr>
      <xdr:spPr>
        <a:xfrm>
          <a:off x="9507682" y="2987386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46</xdr:col>
      <xdr:colOff>216477</xdr:colOff>
      <xdr:row>34</xdr:row>
      <xdr:rowOff>0</xdr:rowOff>
    </xdr:from>
    <xdr:to>
      <xdr:col>51</xdr:col>
      <xdr:colOff>25977</xdr:colOff>
      <xdr:row>38</xdr:row>
      <xdr:rowOff>17318</xdr:rowOff>
    </xdr:to>
    <xdr:sp macro="" textlink="">
      <xdr:nvSpPr>
        <xdr:cNvPr id="235" name="Retângulo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>
          <a:off x="9516341" y="4139045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46</xdr:col>
      <xdr:colOff>216477</xdr:colOff>
      <xdr:row>43</xdr:row>
      <xdr:rowOff>0</xdr:rowOff>
    </xdr:from>
    <xdr:to>
      <xdr:col>51</xdr:col>
      <xdr:colOff>25977</xdr:colOff>
      <xdr:row>47</xdr:row>
      <xdr:rowOff>17319</xdr:rowOff>
    </xdr:to>
    <xdr:sp macro="" textlink="">
      <xdr:nvSpPr>
        <xdr:cNvPr id="291" name="Retângulo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/>
      </xdr:nvSpPr>
      <xdr:spPr>
        <a:xfrm>
          <a:off x="9516341" y="5308023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46</xdr:col>
      <xdr:colOff>216477</xdr:colOff>
      <xdr:row>52</xdr:row>
      <xdr:rowOff>0</xdr:rowOff>
    </xdr:from>
    <xdr:to>
      <xdr:col>51</xdr:col>
      <xdr:colOff>25977</xdr:colOff>
      <xdr:row>56</xdr:row>
      <xdr:rowOff>17319</xdr:rowOff>
    </xdr:to>
    <xdr:sp macro="" textlink="">
      <xdr:nvSpPr>
        <xdr:cNvPr id="292" name="Retângulo 29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SpPr/>
      </xdr:nvSpPr>
      <xdr:spPr>
        <a:xfrm>
          <a:off x="9516341" y="6485659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46</xdr:col>
      <xdr:colOff>216477</xdr:colOff>
      <xdr:row>7</xdr:row>
      <xdr:rowOff>0</xdr:rowOff>
    </xdr:from>
    <xdr:to>
      <xdr:col>51</xdr:col>
      <xdr:colOff>25977</xdr:colOff>
      <xdr:row>11</xdr:row>
      <xdr:rowOff>25977</xdr:rowOff>
    </xdr:to>
    <xdr:sp macro="" textlink="">
      <xdr:nvSpPr>
        <xdr:cNvPr id="293" name="Retângul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SpPr/>
      </xdr:nvSpPr>
      <xdr:spPr>
        <a:xfrm>
          <a:off x="9516341" y="701386"/>
          <a:ext cx="935181" cy="718705"/>
        </a:xfrm>
        <a:prstGeom prst="rect">
          <a:avLst/>
        </a:prstGeom>
        <a:noFill/>
        <a:ln w="28575">
          <a:solidFill>
            <a:schemeClr val="bg1">
              <a:lumMod val="95000"/>
            </a:schemeClr>
          </a:solidFill>
        </a:ln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1079233</xdr:colOff>
      <xdr:row>332</xdr:row>
      <xdr:rowOff>244241</xdr:rowOff>
    </xdr:from>
    <xdr:to>
      <xdr:col>3</xdr:col>
      <xdr:colOff>1564507</xdr:colOff>
      <xdr:row>334</xdr:row>
      <xdr:rowOff>30881</xdr:rowOff>
    </xdr:to>
    <xdr:sp macro="" textlink="">
      <xdr:nvSpPr>
        <xdr:cNvPr id="3" name="Seta para baix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1233" y="75144830"/>
          <a:ext cx="485274" cy="243840"/>
        </a:xfrm>
        <a:prstGeom prst="down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2310063</xdr:colOff>
      <xdr:row>3</xdr:row>
      <xdr:rowOff>320841</xdr:rowOff>
    </xdr:from>
    <xdr:to>
      <xdr:col>19</xdr:col>
      <xdr:colOff>160421</xdr:colOff>
      <xdr:row>4</xdr:row>
      <xdr:rowOff>224588</xdr:rowOff>
    </xdr:to>
    <xdr:sp macro="" textlink="">
      <xdr:nvSpPr>
        <xdr:cNvPr id="8" name="Seta para baix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242884" y="962525"/>
          <a:ext cx="601579" cy="497305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312821</xdr:colOff>
      <xdr:row>0</xdr:row>
      <xdr:rowOff>56147</xdr:rowOff>
    </xdr:from>
    <xdr:to>
      <xdr:col>10</xdr:col>
      <xdr:colOff>192505</xdr:colOff>
      <xdr:row>3</xdr:row>
      <xdr:rowOff>497305</xdr:rowOff>
    </xdr:to>
    <xdr:sp macro="" textlink="">
      <xdr:nvSpPr>
        <xdr:cNvPr id="7" name="Chaveta à direit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 flipH="1">
          <a:off x="4572401" y="56147"/>
          <a:ext cx="474044" cy="1088858"/>
        </a:xfrm>
        <a:prstGeom prst="rightBrace">
          <a:avLst>
            <a:gd name="adj1" fmla="val 8333"/>
            <a:gd name="adj2" fmla="val 26377"/>
          </a:avLst>
        </a:prstGeom>
        <a:noFill/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1323472</xdr:colOff>
      <xdr:row>1</xdr:row>
      <xdr:rowOff>16041</xdr:rowOff>
    </xdr:from>
    <xdr:to>
      <xdr:col>3</xdr:col>
      <xdr:colOff>1604209</xdr:colOff>
      <xdr:row>2</xdr:row>
      <xdr:rowOff>208548</xdr:rowOff>
    </xdr:to>
    <xdr:sp macro="" textlink="">
      <xdr:nvSpPr>
        <xdr:cNvPr id="9" name="Chaveta à direita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flipH="1">
          <a:off x="2085472" y="99861"/>
          <a:ext cx="280737" cy="474447"/>
        </a:xfrm>
        <a:prstGeom prst="rightBrace">
          <a:avLst>
            <a:gd name="adj1" fmla="val 8333"/>
            <a:gd name="adj2" fmla="val 44948"/>
          </a:avLst>
        </a:prstGeom>
        <a:noFill/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07083" cy="60642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0.0012</cdr:y>
    </cdr:from>
    <cdr:to>
      <cdr:x>1</cdr:x>
      <cdr:y>0.38822</cdr:y>
    </cdr:to>
    <cdr:grpSp>
      <cdr:nvGrpSpPr>
        <cdr:cNvPr id="4" name="Grupo 3">
          <a:extLst xmlns:a="http://schemas.openxmlformats.org/drawingml/2006/main">
            <a:ext uri="{FF2B5EF4-FFF2-40B4-BE49-F238E27FC236}">
              <a16:creationId xmlns:a16="http://schemas.microsoft.com/office/drawing/2014/main" id="{F995F4E0-26C4-4D01-8B9D-2AD4D93009BA}"/>
            </a:ext>
          </a:extLst>
        </cdr:cNvPr>
        <cdr:cNvGrpSpPr/>
      </cdr:nvGrpSpPr>
      <cdr:grpSpPr>
        <a:xfrm xmlns:a="http://schemas.openxmlformats.org/drawingml/2006/main">
          <a:off x="0" y="7277"/>
          <a:ext cx="10107083" cy="2346986"/>
          <a:chOff x="0" y="7204"/>
          <a:chExt cx="9640455" cy="2323535"/>
        </a:xfrm>
      </cdr:grpSpPr>
      <cdr:graphicFrame macro="">
        <cdr:nvGraphicFramePr>
          <cdr:cNvPr id="2" name="Gráfico 1">
            <a:extLst xmlns:a="http://schemas.openxmlformats.org/drawingml/2006/main">
              <a:ext uri="{FF2B5EF4-FFF2-40B4-BE49-F238E27FC236}">
                <a16:creationId xmlns:a16="http://schemas.microsoft.com/office/drawing/2014/main" id="{FE63371A-44A2-44FB-942E-AFAF84F42240}"/>
              </a:ext>
            </a:extLst>
          </cdr:cNvPr>
          <cdr:cNvGraphicFramePr/>
        </cdr:nvGraphicFramePr>
        <cdr:xfrm>
          <a:off xmlns:a="http://schemas.openxmlformats.org/drawingml/2006/main" x="0" y="0"/>
          <a:ext xmlns:a="http://schemas.openxmlformats.org/drawingml/2006/main" cx="0" cy="0"/>
        </cdr:xfrm>
        <a:graphic xmlns:a="http://schemas.openxmlformats.org/drawingml/2006/main"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cdr:graphicFrame>
      <cdr:graphicFrame macro="">
        <cdr:nvGraphicFramePr>
          <cdr:cNvPr id="3" name="Gráfico 2">
            <a:extLst xmlns:a="http://schemas.openxmlformats.org/drawingml/2006/main">
              <a:ext uri="{FF2B5EF4-FFF2-40B4-BE49-F238E27FC236}">
                <a16:creationId xmlns:a16="http://schemas.microsoft.com/office/drawing/2014/main" id="{73B9B4B1-1DC0-43CF-B4C9-3DF712135F11}"/>
              </a:ext>
            </a:extLst>
          </cdr:cNvPr>
          <cdr:cNvGraphicFramePr/>
        </cdr:nvGraphicFramePr>
        <cdr:xfrm>
          <a:off xmlns:a="http://schemas.openxmlformats.org/drawingml/2006/main" x="0" y="0"/>
          <a:ext xmlns:a="http://schemas.openxmlformats.org/drawingml/2006/main" cx="0" cy="0"/>
        </cdr:xfrm>
        <a:graphic xmlns:a="http://schemas.openxmlformats.org/drawingml/2006/main"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cdr:graphicFrame>
    </cdr:grpSp>
  </cdr:relSizeAnchor>
  <cdr:relSizeAnchor xmlns:cdr="http://schemas.openxmlformats.org/drawingml/2006/chartDrawing">
    <cdr:from>
      <cdr:x>0.04416</cdr:x>
      <cdr:y>0.02284</cdr:y>
    </cdr:from>
    <cdr:to>
      <cdr:x>0.49326</cdr:x>
      <cdr:y>0.40385</cdr:y>
    </cdr:to>
    <cdr:graphicFrame macro="">
      <cdr:nvGraphicFramePr>
        <cdr:cNvPr id="7" name="Gráfico 6">
          <a:extLst xmlns:a="http://schemas.openxmlformats.org/drawingml/2006/main">
            <a:ext uri="{FF2B5EF4-FFF2-40B4-BE49-F238E27FC236}">
              <a16:creationId xmlns:a16="http://schemas.microsoft.com/office/drawing/2014/main" id="{48559DD1-1619-49F4-99D9-5F995C8BF19A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0.50552</cdr:x>
      <cdr:y>0</cdr:y>
    </cdr:from>
    <cdr:to>
      <cdr:x>1</cdr:x>
      <cdr:y>0.42789</cdr:y>
    </cdr:to>
    <cdr:graphicFrame macro="">
      <cdr:nvGraphicFramePr>
        <cdr:cNvPr id="9" name="Gráfico 8">
          <a:extLst xmlns:a="http://schemas.openxmlformats.org/drawingml/2006/main">
            <a:ext uri="{FF2B5EF4-FFF2-40B4-BE49-F238E27FC236}">
              <a16:creationId xmlns:a16="http://schemas.microsoft.com/office/drawing/2014/main" id="{CA4F0E2B-B291-4BAC-8028-735D44C8EAD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onaldoguastalli/OneDrive/despesas/DESPESAS%20PESSOAIS%202017%20(VERSION%205)%20-%20co&#769;pi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G PP" refreshedDate="43441.544491203706" createdVersion="3" refreshedVersion="6" minRefreshableVersion="3" recordCount="13" xr:uid="{00000000-000A-0000-FFFF-FFFF00000000}">
  <cacheSource type="worksheet">
    <worksheetSource ref="B5:Z18" sheet="PROVENTOS&amp;DESCONTOS" r:id="rId2"/>
  </cacheSource>
  <cacheFields count="25">
    <cacheField name="Mês" numFmtId="0">
      <sharedItems containsBlank="1" count="13">
        <m/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Valor Bruto Pessoa1" numFmtId="0">
      <sharedItems containsNonDate="0" containsString="0" containsBlank="1"/>
    </cacheField>
    <cacheField name="Valor Bruto Pessoa 2" numFmtId="0">
      <sharedItems containsNonDate="0" containsString="0" containsBlank="1"/>
    </cacheField>
    <cacheField name="Valor Liq. Depositado Priscila (A)" numFmtId="172">
      <sharedItems containsNonDate="0" containsString="0" containsBlank="1"/>
    </cacheField>
    <cacheField name="Valor Liq. Depositado Ronaldo (A)" numFmtId="172">
      <sharedItems containsNonDate="0" containsString="0" containsBlank="1"/>
    </cacheField>
    <cacheField name="TOTAL PROV. LIQ. DEPOSIT. (A-D)" numFmtId="172">
      <sharedItems containsString="0" containsBlank="1" containsNumber="1" containsInteger="1" minValue="0" maxValue="0"/>
    </cacheField>
    <cacheField name="INSS  (D)" numFmtId="172">
      <sharedItems containsString="0" containsBlank="1" containsNumber="1" containsInteger="1" minValue="0" maxValue="0"/>
    </cacheField>
    <cacheField name="INSS  (D)2" numFmtId="172">
      <sharedItems containsString="0" containsBlank="1" containsNumber="1" containsInteger="1" minValue="0" maxValue="80"/>
    </cacheField>
    <cacheField name="OUTROS" numFmtId="172">
      <sharedItems containsString="0" containsBlank="1" containsNumber="1" containsInteger="1" minValue="0" maxValue="0"/>
    </cacheField>
    <cacheField name="IR  (D)" numFmtId="172">
      <sharedItems containsString="0" containsBlank="1" containsNumber="1" containsInteger="1" minValue="0" maxValue="0"/>
    </cacheField>
    <cacheField name="IR  (D)2" numFmtId="172">
      <sharedItems containsString="0" containsBlank="1" containsNumber="1" containsInteger="1" minValue="0" maxValue="0"/>
    </cacheField>
    <cacheField name="Outros 1  (D)" numFmtId="172">
      <sharedItems containsNonDate="0" containsString="0" containsBlank="1"/>
    </cacheField>
    <cacheField name="Outros 2  (D)" numFmtId="172">
      <sharedItems containsNonDate="0" containsString="0" containsBlank="1"/>
    </cacheField>
    <cacheField name="TOTAL DESC. " numFmtId="172">
      <sharedItems containsString="0" containsBlank="1" containsNumber="1" containsInteger="1" minValue="0" maxValue="0"/>
    </cacheField>
    <cacheField name="TOTAL DESC. 2" numFmtId="172">
      <sharedItems containsString="0" containsBlank="1" containsNumber="1" containsInteger="1" minValue="0" maxValue="80"/>
    </cacheField>
    <cacheField name="TOTAL DESC. (TOTAL D)" numFmtId="172">
      <sharedItems containsString="0" containsBlank="1" containsNumber="1" containsInteger="1" minValue="0" maxValue="80"/>
    </cacheField>
    <cacheField name="Desc. Apr. (des./salar.)" numFmtId="9">
      <sharedItems containsBlank="1"/>
    </cacheField>
    <cacheField name="RECEITA LÍQUIDA         (A-D)" numFmtId="172">
      <sharedItems containsString="0" containsBlank="1" containsNumber="1" containsInteger="1" minValue="0" maxValue="0"/>
    </cacheField>
    <cacheField name="Acumulado (B)" numFmtId="172">
      <sharedItems containsString="0" containsBlank="1" containsNumber="1" containsInteger="1" minValue="0" maxValue="0"/>
    </cacheField>
    <cacheField name="Outras Créditos (E)" numFmtId="172">
      <sharedItems containsString="0" containsBlank="1" containsNumber="1" containsInteger="1" minValue="0" maxValue="190"/>
    </cacheField>
    <cacheField name="Pessoa1" numFmtId="172">
      <sharedItems containsString="0" containsBlank="1" containsNumber="1" containsInteger="1" minValue="0" maxValue="0"/>
    </cacheField>
    <cacheField name="Pessoa2" numFmtId="172">
      <sharedItems containsString="0" containsBlank="1" containsNumber="1" containsInteger="1" minValue="-80" maxValue="0"/>
    </cacheField>
    <cacheField name="Depend." numFmtId="0">
      <sharedItems containsString="0" containsBlank="1" containsNumber="1" containsInteger="1" minValue="0" maxValue="0"/>
    </cacheField>
    <cacheField name="Pessoa12" numFmtId="172">
      <sharedItems containsString="0" containsBlank="1" containsNumber="1" containsInteger="1" minValue="0" maxValue="0"/>
    </cacheField>
    <cacheField name="Pessoa22" numFmtId="172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  <m/>
    <m/>
    <m/>
    <m/>
    <m/>
    <m/>
    <m/>
    <m/>
    <m/>
    <m/>
    <m/>
    <m/>
    <m/>
    <m/>
    <m/>
    <m/>
    <m/>
    <m/>
    <m/>
    <m/>
  </r>
  <r>
    <x v="1"/>
    <m/>
    <m/>
    <m/>
    <m/>
    <n v="0"/>
    <n v="0"/>
    <n v="80"/>
    <n v="0"/>
    <n v="0"/>
    <n v="0"/>
    <m/>
    <m/>
    <n v="0"/>
    <n v="80"/>
    <n v="80"/>
    <e v="#DIV/0!"/>
    <n v="0"/>
    <n v="0"/>
    <n v="0"/>
    <n v="0"/>
    <n v="-80"/>
    <m/>
    <n v="0"/>
    <n v="0"/>
  </r>
  <r>
    <x v="2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3"/>
    <m/>
    <m/>
    <m/>
    <m/>
    <n v="0"/>
    <n v="0"/>
    <n v="0"/>
    <m/>
    <n v="0"/>
    <n v="0"/>
    <m/>
    <m/>
    <n v="0"/>
    <n v="0"/>
    <n v="0"/>
    <e v="#DIV/0!"/>
    <n v="0"/>
    <n v="0"/>
    <n v="0"/>
    <n v="0"/>
    <n v="0"/>
    <n v="0"/>
    <n v="0"/>
    <n v="0"/>
  </r>
  <r>
    <x v="4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5"/>
    <m/>
    <m/>
    <m/>
    <m/>
    <n v="0"/>
    <n v="0"/>
    <n v="0"/>
    <n v="0"/>
    <n v="0"/>
    <n v="0"/>
    <m/>
    <m/>
    <n v="0"/>
    <n v="0"/>
    <n v="0"/>
    <e v="#DIV/0!"/>
    <n v="0"/>
    <n v="0"/>
    <n v="190"/>
    <n v="0"/>
    <n v="0"/>
    <n v="0"/>
    <n v="0"/>
    <n v="0"/>
  </r>
  <r>
    <x v="6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7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8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9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10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11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  <r>
    <x v="12"/>
    <m/>
    <m/>
    <m/>
    <m/>
    <n v="0"/>
    <n v="0"/>
    <n v="0"/>
    <n v="0"/>
    <n v="0"/>
    <n v="0"/>
    <m/>
    <m/>
    <n v="0"/>
    <n v="0"/>
    <n v="0"/>
    <e v="#DIV/0!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Tabela dinâmica2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 chartFormat="11">
  <location ref="A3:F17" firstHeaderRow="1" firstDataRow="2" firstDataCol="1"/>
  <pivotFields count="25">
    <pivotField axis="axisRow" multipleItemSelectionAllowed="1" showAll="0">
      <items count="1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t="default"/>
      </items>
    </pivotField>
    <pivotField showAll="0"/>
    <pivotField showAll="0"/>
    <pivotField dataField="1" showAll="0"/>
    <pivotField dataField="1" showAll="0"/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dataField="1" showAll="0" defaultSubtota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Valor Liq. Depositado Priscila (A)" fld="3" baseField="0" baseItem="0"/>
    <dataField name="Soma de Valor Liq. Depositado Ronaldo (A)" fld="4" baseField="0" baseItem="0"/>
    <dataField name="Soma de TOTAL PROV. LIQ. DEPOSIT. (A-D)" fld="5" baseField="0" baseItem="0"/>
    <dataField name="Soma de Acumulado (B)" fld="18" baseField="0" baseItem="0"/>
    <dataField name="Soma de Outras Créditos (E)" fld="19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Jan2016_ExtratoContaCorrente.txt" growShrinkType="overwriteClear" connectionId="324" xr16:uid="{00000000-0016-0000-04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0000"/>
              <a:satMod val="155000"/>
            </a:schemeClr>
          </a:gs>
          <a:gs pos="65000">
            <a:schemeClr val="phClr">
              <a:shade val="85000"/>
              <a:satMod val="155000"/>
            </a:schemeClr>
          </a:gs>
          <a:gs pos="100000">
            <a:schemeClr val="phClr">
              <a:shade val="95000"/>
              <a:satMod val="155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4925" cap="rnd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algn="tl" rotWithShape="0">
            <a:srgbClr val="000000">
              <a:alpha val="64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shade val="50000"/>
              <a:satMod val="155000"/>
            </a:schemeClr>
          </a:gs>
          <a:gs pos="35000">
            <a:schemeClr val="phClr">
              <a:shade val="75000"/>
              <a:satMod val="155000"/>
            </a:schemeClr>
          </a:gs>
          <a:gs pos="100000">
            <a:schemeClr val="phClr">
              <a:tint val="80000"/>
              <a:satMod val="255000"/>
            </a:schemeClr>
          </a:gs>
        </a:gsLst>
        <a:lin ang="16200000" scaled="0"/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0000"/>
              <a:satMod val="155000"/>
            </a:schemeClr>
          </a:gs>
          <a:gs pos="65000">
            <a:schemeClr val="phClr">
              <a:shade val="85000"/>
              <a:satMod val="155000"/>
            </a:schemeClr>
          </a:gs>
          <a:gs pos="100000">
            <a:schemeClr val="phClr">
              <a:shade val="95000"/>
              <a:satMod val="155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4925" cap="rnd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algn="tl" rotWithShape="0">
            <a:srgbClr val="000000">
              <a:alpha val="64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shade val="50000"/>
              <a:satMod val="155000"/>
            </a:schemeClr>
          </a:gs>
          <a:gs pos="35000">
            <a:schemeClr val="phClr">
              <a:shade val="75000"/>
              <a:satMod val="155000"/>
            </a:schemeClr>
          </a:gs>
          <a:gs pos="100000">
            <a:schemeClr val="phClr">
              <a:tint val="80000"/>
              <a:satMod val="255000"/>
            </a:schemeClr>
          </a:gs>
        </a:gsLst>
        <a:lin ang="16200000" scaled="0"/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0000"/>
              <a:satMod val="155000"/>
            </a:schemeClr>
          </a:gs>
          <a:gs pos="65000">
            <a:schemeClr val="phClr">
              <a:shade val="85000"/>
              <a:satMod val="155000"/>
            </a:schemeClr>
          </a:gs>
          <a:gs pos="100000">
            <a:schemeClr val="phClr">
              <a:shade val="95000"/>
              <a:satMod val="155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4925" cap="rnd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algn="tl" rotWithShape="0">
            <a:srgbClr val="000000">
              <a:alpha val="64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shade val="50000"/>
              <a:satMod val="155000"/>
            </a:schemeClr>
          </a:gs>
          <a:gs pos="35000">
            <a:schemeClr val="phClr">
              <a:shade val="75000"/>
              <a:satMod val="155000"/>
            </a:schemeClr>
          </a:gs>
          <a:gs pos="100000">
            <a:schemeClr val="phClr">
              <a:tint val="80000"/>
              <a:satMod val="255000"/>
            </a:schemeClr>
          </a:gs>
        </a:gsLst>
        <a:lin ang="16200000" scaled="0"/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0000"/>
              <a:satMod val="155000"/>
            </a:schemeClr>
          </a:gs>
          <a:gs pos="65000">
            <a:schemeClr val="phClr">
              <a:shade val="85000"/>
              <a:satMod val="155000"/>
            </a:schemeClr>
          </a:gs>
          <a:gs pos="100000">
            <a:schemeClr val="phClr">
              <a:shade val="95000"/>
              <a:satMod val="155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4925" cap="rnd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algn="tl" rotWithShape="0">
            <a:srgbClr val="000000">
              <a:alpha val="64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shade val="50000"/>
              <a:satMod val="155000"/>
            </a:schemeClr>
          </a:gs>
          <a:gs pos="35000">
            <a:schemeClr val="phClr">
              <a:shade val="75000"/>
              <a:satMod val="155000"/>
            </a:schemeClr>
          </a:gs>
          <a:gs pos="100000">
            <a:schemeClr val="phClr">
              <a:tint val="80000"/>
              <a:satMod val="255000"/>
            </a:schemeClr>
          </a:gs>
        </a:gsLst>
        <a:lin ang="16200000" scaled="0"/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0000"/>
              <a:satMod val="155000"/>
            </a:schemeClr>
          </a:gs>
          <a:gs pos="65000">
            <a:schemeClr val="phClr">
              <a:shade val="85000"/>
              <a:satMod val="155000"/>
            </a:schemeClr>
          </a:gs>
          <a:gs pos="100000">
            <a:schemeClr val="phClr">
              <a:shade val="95000"/>
              <a:satMod val="155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4925" cap="rnd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algn="tl" rotWithShape="0">
            <a:srgbClr val="000000">
              <a:alpha val="64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</a:effectStyle>
      <a:effectStyle>
        <a:effectLst>
          <a:outerShdw blurRad="39000" dist="25400" dir="5400000">
            <a:srgbClr val="000000">
              <a:alpha val="35000"/>
            </a:srgbClr>
          </a:outerShdw>
        </a:effectLst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shade val="50000"/>
              <a:satMod val="155000"/>
            </a:schemeClr>
          </a:gs>
          <a:gs pos="35000">
            <a:schemeClr val="phClr">
              <a:shade val="75000"/>
              <a:satMod val="155000"/>
            </a:schemeClr>
          </a:gs>
          <a:gs pos="100000">
            <a:schemeClr val="phClr">
              <a:tint val="80000"/>
              <a:satMod val="255000"/>
            </a:schemeClr>
          </a:gs>
        </a:gsLst>
        <a:lin ang="16200000" scaled="0"/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>
    <tabColor rgb="FFFF0000"/>
  </sheetPr>
  <dimension ref="B1:AH276"/>
  <sheetViews>
    <sheetView showGridLines="0" zoomScale="140" zoomScaleNormal="140" zoomScalePageLayoutView="120" workbookViewId="0">
      <pane xSplit="2" ySplit="6" topLeftCell="C7" activePane="bottomRight" state="frozen"/>
      <selection pane="topRight" activeCell="C1" sqref="C1"/>
      <selection pane="bottomLeft" activeCell="A9" sqref="A9"/>
      <selection pane="bottomRight" activeCell="AE5" sqref="AE5"/>
    </sheetView>
  </sheetViews>
  <sheetFormatPr baseColWidth="10" defaultColWidth="9.1640625" defaultRowHeight="14"/>
  <cols>
    <col min="1" max="1" width="1.5" style="9" customWidth="1"/>
    <col min="2" max="2" width="8.5" style="9" customWidth="1"/>
    <col min="3" max="3" width="13.33203125" style="9" customWidth="1"/>
    <col min="4" max="4" width="13" style="9" customWidth="1"/>
    <col min="5" max="5" width="11.5" style="42" customWidth="1"/>
    <col min="6" max="6" width="10.33203125" style="41" customWidth="1"/>
    <col min="7" max="7" width="11" style="41" customWidth="1"/>
    <col min="8" max="8" width="10.33203125" style="41" customWidth="1"/>
    <col min="9" max="9" width="11" style="41" customWidth="1"/>
    <col min="10" max="10" width="10" style="41" customWidth="1"/>
    <col min="11" max="11" width="11" style="41" customWidth="1"/>
    <col min="12" max="12" width="11.1640625" style="41" customWidth="1"/>
    <col min="13" max="13" width="11" style="9" customWidth="1"/>
    <col min="14" max="14" width="11.33203125" style="9" customWidth="1"/>
    <col min="15" max="15" width="11.5" style="9" customWidth="1"/>
    <col min="16" max="18" width="11.1640625" style="9" customWidth="1"/>
    <col min="19" max="19" width="13" style="9" customWidth="1"/>
    <col min="20" max="20" width="11.1640625" style="9" customWidth="1"/>
    <col min="21" max="21" width="11.83203125" style="9" customWidth="1"/>
    <col min="22" max="23" width="13.83203125" style="9" customWidth="1"/>
    <col min="24" max="24" width="10.33203125" style="9" customWidth="1"/>
    <col min="25" max="25" width="10.5" style="9" customWidth="1"/>
    <col min="26" max="26" width="10" style="9" customWidth="1"/>
    <col min="27" max="27" width="10" style="207" customWidth="1"/>
    <col min="28" max="28" width="10" style="202" customWidth="1"/>
    <col min="29" max="30" width="11.33203125" style="9" bestFit="1" customWidth="1"/>
    <col min="31" max="31" width="10.33203125" style="9" bestFit="1" customWidth="1"/>
    <col min="32" max="16384" width="9.1640625" style="9"/>
  </cols>
  <sheetData>
    <row r="1" spans="2:34" ht="6" customHeight="1">
      <c r="B1" s="539"/>
      <c r="C1" s="539"/>
      <c r="D1" s="539"/>
      <c r="E1" s="539"/>
      <c r="F1" s="539"/>
      <c r="G1" s="539"/>
      <c r="H1" s="8"/>
      <c r="I1" s="8"/>
      <c r="J1" s="8"/>
      <c r="K1" s="8"/>
      <c r="L1" s="8"/>
      <c r="M1" s="44"/>
      <c r="N1" s="47"/>
      <c r="O1" s="47"/>
      <c r="P1" s="48"/>
      <c r="Q1" s="48"/>
      <c r="R1" s="48"/>
      <c r="S1" s="46"/>
      <c r="T1" s="46"/>
    </row>
    <row r="2" spans="2:34" s="7" customFormat="1" ht="16.5" customHeight="1">
      <c r="B2" s="305" t="s">
        <v>49</v>
      </c>
      <c r="C2" s="305"/>
      <c r="D2" s="305"/>
      <c r="E2" s="305"/>
      <c r="F2" s="309"/>
      <c r="G2" s="309"/>
      <c r="H2" s="309"/>
      <c r="I2" s="309"/>
      <c r="J2" s="309"/>
      <c r="K2" s="309"/>
      <c r="L2" s="309"/>
      <c r="M2" s="309"/>
      <c r="N2" s="309"/>
      <c r="O2" s="310"/>
      <c r="P2" s="310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  <c r="AG2" s="310"/>
      <c r="AH2" s="309"/>
    </row>
    <row r="3" spans="2:34" s="11" customFormat="1" ht="6.75" customHeight="1" thickBot="1">
      <c r="B3" s="14"/>
      <c r="C3" s="14"/>
      <c r="D3" s="14"/>
      <c r="AA3" s="208"/>
      <c r="AB3" s="98"/>
    </row>
    <row r="4" spans="2:34" s="14" customFormat="1" ht="15.75" customHeight="1" thickBot="1">
      <c r="B4" s="261"/>
      <c r="C4" s="540" t="s">
        <v>97</v>
      </c>
      <c r="D4" s="541"/>
      <c r="E4" s="541"/>
      <c r="F4" s="541"/>
      <c r="G4" s="542"/>
      <c r="H4" s="540" t="s">
        <v>22</v>
      </c>
      <c r="I4" s="547"/>
      <c r="J4" s="547"/>
      <c r="K4" s="547"/>
      <c r="L4" s="547"/>
      <c r="M4" s="547"/>
      <c r="N4" s="547"/>
      <c r="O4" s="547"/>
      <c r="P4" s="547"/>
      <c r="Q4" s="547"/>
      <c r="R4" s="548"/>
      <c r="S4" s="324" t="s">
        <v>98</v>
      </c>
      <c r="T4" s="549" t="s">
        <v>99</v>
      </c>
      <c r="U4" s="550"/>
      <c r="V4" s="544" t="s">
        <v>36</v>
      </c>
      <c r="W4" s="544"/>
      <c r="X4" s="543" t="s">
        <v>23</v>
      </c>
      <c r="Y4" s="544"/>
      <c r="Z4" s="545"/>
      <c r="AA4" s="209"/>
      <c r="AB4" s="203"/>
    </row>
    <row r="5" spans="2:34" s="13" customFormat="1" ht="61.25" customHeight="1">
      <c r="B5" s="325" t="s">
        <v>0</v>
      </c>
      <c r="C5" s="196" t="s">
        <v>183</v>
      </c>
      <c r="D5" s="197" t="s">
        <v>184</v>
      </c>
      <c r="E5" s="196" t="s">
        <v>95</v>
      </c>
      <c r="F5" s="197" t="s">
        <v>96</v>
      </c>
      <c r="G5" s="198" t="s">
        <v>127</v>
      </c>
      <c r="H5" s="196" t="s">
        <v>175</v>
      </c>
      <c r="I5" s="197" t="s">
        <v>175</v>
      </c>
      <c r="J5" s="197" t="s">
        <v>177</v>
      </c>
      <c r="K5" s="197" t="s">
        <v>176</v>
      </c>
      <c r="L5" s="197" t="s">
        <v>176</v>
      </c>
      <c r="M5" s="197" t="s">
        <v>178</v>
      </c>
      <c r="N5" s="197" t="s">
        <v>179</v>
      </c>
      <c r="O5" s="197" t="s">
        <v>180</v>
      </c>
      <c r="P5" s="197" t="s">
        <v>180</v>
      </c>
      <c r="Q5" s="197" t="s">
        <v>100</v>
      </c>
      <c r="R5" s="198" t="s">
        <v>54</v>
      </c>
      <c r="S5" s="323" t="s">
        <v>98</v>
      </c>
      <c r="T5" s="196" t="s">
        <v>112</v>
      </c>
      <c r="U5" s="198" t="s">
        <v>115</v>
      </c>
      <c r="V5" s="29" t="s">
        <v>181</v>
      </c>
      <c r="W5" s="30" t="s">
        <v>182</v>
      </c>
      <c r="X5" s="30" t="s">
        <v>53</v>
      </c>
      <c r="Y5" s="29" t="s">
        <v>181</v>
      </c>
      <c r="Z5" s="30" t="s">
        <v>182</v>
      </c>
      <c r="AA5" s="210"/>
      <c r="AB5" s="204" t="s">
        <v>125</v>
      </c>
      <c r="AC5" s="13" t="s">
        <v>126</v>
      </c>
    </row>
    <row r="6" spans="2:34" s="12" customFormat="1" ht="5.25" customHeight="1">
      <c r="B6" s="189"/>
      <c r="C6" s="189"/>
      <c r="D6" s="189"/>
      <c r="E6" s="184"/>
      <c r="F6" s="27"/>
      <c r="G6" s="31"/>
      <c r="H6" s="184"/>
      <c r="I6" s="27"/>
      <c r="J6" s="27"/>
      <c r="K6" s="27"/>
      <c r="L6" s="27"/>
      <c r="M6" s="27"/>
      <c r="N6" s="27"/>
      <c r="O6" s="27"/>
      <c r="P6" s="27"/>
      <c r="Q6" s="27"/>
      <c r="R6" s="185"/>
      <c r="S6" s="199"/>
      <c r="T6" s="184"/>
      <c r="U6" s="31"/>
      <c r="V6" s="34"/>
      <c r="W6" s="27"/>
      <c r="X6" s="28"/>
      <c r="Y6" s="27"/>
      <c r="Z6" s="31"/>
      <c r="AA6" s="211"/>
      <c r="AB6" s="97"/>
    </row>
    <row r="7" spans="2:34" s="12" customFormat="1" ht="16.5" customHeight="1">
      <c r="B7" s="536" t="s">
        <v>37</v>
      </c>
      <c r="C7" s="184"/>
      <c r="D7" s="22"/>
      <c r="E7" s="193"/>
      <c r="F7" s="321"/>
      <c r="G7" s="31">
        <f>SUM(E7:F7)</f>
        <v>0</v>
      </c>
      <c r="H7" s="193">
        <f t="shared" ref="H7:H9" si="0">IF(C7&lt;$D$26,$E$26*C7,IF(AND(C7&gt;$C$27,C7&lt;$D$27),$E$27*C7,IF(AND(C7&gt;$C$28,C7&lt;$D$28),$E$28*C7,IF(C7&gt;$D$28,$E$29))))</f>
        <v>0</v>
      </c>
      <c r="I7" s="192">
        <v>80</v>
      </c>
      <c r="J7" s="192">
        <f t="shared" ref="J7:J18" si="1">C7*$D$35</f>
        <v>0</v>
      </c>
      <c r="K7" s="192">
        <f t="shared" ref="K7:K18" si="2">IF(V7&lt;$H$26,0,IF(AND(V7&gt;$G$27,V7&lt;$H$27),$I$27*V7-$J$27,IF(AND(V7&gt;$G$28,V7&lt;$H$28),$I$28*V7-$J$28,IF(AND(V7&gt;$G$29,V7&lt;$H$29),$I$29*V7-$J$29,IF(V7&gt;$H$29,$I$30*V7-$J$30)))))</f>
        <v>0</v>
      </c>
      <c r="L7" s="192">
        <v>0</v>
      </c>
      <c r="M7" s="194"/>
      <c r="N7" s="192"/>
      <c r="O7" s="22">
        <f t="shared" ref="O7:O14" si="3">H7+J7+K7+M7</f>
        <v>0</v>
      </c>
      <c r="P7" s="22">
        <f>I7+L7+N7</f>
        <v>80</v>
      </c>
      <c r="Q7" s="27">
        <f>SUM(H7:N7)</f>
        <v>80</v>
      </c>
      <c r="R7" s="185" t="e">
        <f>Q7/SUM(C7:D7)</f>
        <v>#DIV/0!</v>
      </c>
      <c r="S7" s="195">
        <f t="shared" ref="S7:S12" si="4">G7</f>
        <v>0</v>
      </c>
      <c r="T7" s="184">
        <f>ENTRADA!D17</f>
        <v>0</v>
      </c>
      <c r="U7" s="31">
        <f>ENTRADA!D36</f>
        <v>0</v>
      </c>
      <c r="V7" s="35">
        <f>C7-H7-J7-X7</f>
        <v>0</v>
      </c>
      <c r="W7" s="22">
        <f t="shared" ref="W7:W18" si="5">D7-I7-X7</f>
        <v>-80</v>
      </c>
      <c r="X7" s="28"/>
      <c r="Y7" s="22">
        <f t="shared" ref="Y7:Y18" si="6">$D$32*C7</f>
        <v>0</v>
      </c>
      <c r="Z7" s="24">
        <f t="shared" ref="Z7:Z18" si="7">$D$32*D7</f>
        <v>0</v>
      </c>
      <c r="AA7" s="212"/>
      <c r="AB7" s="320">
        <v>42400</v>
      </c>
      <c r="AC7" s="320">
        <f ca="1">TODAY()</f>
        <v>43442</v>
      </c>
    </row>
    <row r="8" spans="2:34" s="12" customFormat="1" ht="16.5" customHeight="1">
      <c r="B8" s="536" t="s">
        <v>38</v>
      </c>
      <c r="C8" s="184"/>
      <c r="D8" s="22"/>
      <c r="E8" s="193"/>
      <c r="F8" s="321"/>
      <c r="G8" s="31">
        <f t="shared" ref="G8:G18" si="8">SUM(E8:F8)</f>
        <v>0</v>
      </c>
      <c r="H8" s="193">
        <f t="shared" si="0"/>
        <v>0</v>
      </c>
      <c r="I8" s="192">
        <f t="shared" ref="I8:I17" si="9">IF(D8&lt;$D$26,$E$26*D8,IF(AND(D8&gt;$C$27,D8&lt;$D$27),$E$27*D8,IF(AND(D8&gt;$C$28,D8&lt;$D$28),$E$28*D8,IF(D8&gt;$D$28,$E$29))))</f>
        <v>0</v>
      </c>
      <c r="J8" s="192">
        <f t="shared" si="1"/>
        <v>0</v>
      </c>
      <c r="K8" s="192">
        <f t="shared" si="2"/>
        <v>0</v>
      </c>
      <c r="L8" s="192">
        <v>0</v>
      </c>
      <c r="M8" s="194"/>
      <c r="N8" s="192"/>
      <c r="O8" s="22">
        <f>H8+J8+K8+M8</f>
        <v>0</v>
      </c>
      <c r="P8" s="22">
        <f t="shared" ref="P8:P14" si="10">I8+L8+N8</f>
        <v>0</v>
      </c>
      <c r="Q8" s="22">
        <f>SUM(H8:N8)</f>
        <v>0</v>
      </c>
      <c r="R8" s="186" t="e">
        <f t="shared" ref="R8:R18" si="11">Q8/SUM(C8:D8)</f>
        <v>#DIV/0!</v>
      </c>
      <c r="S8" s="195">
        <f t="shared" si="4"/>
        <v>0</v>
      </c>
      <c r="T8" s="184">
        <f>ENTRADA!F17</f>
        <v>0</v>
      </c>
      <c r="U8" s="24">
        <f>ENTRADA!F36</f>
        <v>0</v>
      </c>
      <c r="V8" s="35">
        <f t="shared" ref="V8:V18" si="12">C8-H8-J8-X8</f>
        <v>0</v>
      </c>
      <c r="W8" s="22">
        <f t="shared" si="5"/>
        <v>0</v>
      </c>
      <c r="X8" s="23">
        <v>0</v>
      </c>
      <c r="Y8" s="22">
        <f t="shared" si="6"/>
        <v>0</v>
      </c>
      <c r="Z8" s="24">
        <f t="shared" si="7"/>
        <v>0</v>
      </c>
      <c r="AA8" s="212"/>
      <c r="AB8" s="320">
        <v>42428</v>
      </c>
      <c r="AC8" s="320">
        <f t="shared" ref="AC8:AC18" ca="1" si="13">TODAY()</f>
        <v>43442</v>
      </c>
    </row>
    <row r="9" spans="2:34" s="12" customFormat="1" ht="16.5" customHeight="1">
      <c r="B9" s="536" t="s">
        <v>39</v>
      </c>
      <c r="C9" s="184"/>
      <c r="D9" s="22"/>
      <c r="E9" s="193"/>
      <c r="F9" s="321"/>
      <c r="G9" s="31">
        <f t="shared" si="8"/>
        <v>0</v>
      </c>
      <c r="H9" s="193">
        <f t="shared" si="0"/>
        <v>0</v>
      </c>
      <c r="I9" s="192">
        <f t="shared" si="9"/>
        <v>0</v>
      </c>
      <c r="J9" s="192">
        <f t="shared" si="1"/>
        <v>0</v>
      </c>
      <c r="K9" s="192">
        <f t="shared" si="2"/>
        <v>0</v>
      </c>
      <c r="L9" s="192">
        <f t="shared" ref="L9:L18" si="14">IF(W9&lt;$H$26,0,IF(AND(W9&gt;$G$27,W9&lt;$H$27),$I$27*W9-$J$27,IF(AND(W9&gt;$G$28,W9&lt;$H$28),$I$28*W9-$J$28,IF(AND(W9&gt;$G$29,W9&lt;$H$29),$I$29*W9-$J$29,IF(W9&gt;$H$29,$I$30*W9-$J$30)))))</f>
        <v>0</v>
      </c>
      <c r="M9" s="194"/>
      <c r="N9" s="192"/>
      <c r="O9" s="22">
        <f t="shared" si="3"/>
        <v>0</v>
      </c>
      <c r="P9" s="22">
        <f t="shared" si="10"/>
        <v>0</v>
      </c>
      <c r="Q9" s="22">
        <f>SUM(H9:N9)</f>
        <v>0</v>
      </c>
      <c r="R9" s="186" t="e">
        <f t="shared" si="11"/>
        <v>#DIV/0!</v>
      </c>
      <c r="S9" s="195">
        <f t="shared" si="4"/>
        <v>0</v>
      </c>
      <c r="T9" s="191">
        <f>ENTRADA!H17</f>
        <v>0</v>
      </c>
      <c r="U9" s="24">
        <f>ENTRADA!H36</f>
        <v>0</v>
      </c>
      <c r="V9" s="35">
        <f>C9-H9-J9-X9</f>
        <v>0</v>
      </c>
      <c r="W9" s="22">
        <f t="shared" si="5"/>
        <v>0</v>
      </c>
      <c r="X9" s="23">
        <v>0</v>
      </c>
      <c r="Y9" s="22">
        <f t="shared" si="6"/>
        <v>0</v>
      </c>
      <c r="Z9" s="24">
        <f t="shared" si="7"/>
        <v>0</v>
      </c>
      <c r="AA9" s="212"/>
      <c r="AB9" s="320">
        <v>42460</v>
      </c>
      <c r="AC9" s="320">
        <f t="shared" ca="1" si="13"/>
        <v>43442</v>
      </c>
    </row>
    <row r="10" spans="2:34" s="12" customFormat="1" ht="16.5" customHeight="1">
      <c r="B10" s="536" t="s">
        <v>40</v>
      </c>
      <c r="C10" s="184"/>
      <c r="D10" s="22"/>
      <c r="E10" s="193"/>
      <c r="F10" s="321"/>
      <c r="G10" s="31">
        <f t="shared" si="8"/>
        <v>0</v>
      </c>
      <c r="H10" s="193">
        <f t="shared" ref="H10:H18" si="15">IF(C10&lt;$D$26,$E$26*C10,IF(AND(C10&gt;$C$27,C10&lt;$D$27),$E$27*C10,IF(AND(C10&gt;$C$28,C10&lt;$D$28),$E$28*C10,IF(C10&gt;$D$28,$E$29))))</f>
        <v>0</v>
      </c>
      <c r="I10" s="192">
        <f t="shared" si="9"/>
        <v>0</v>
      </c>
      <c r="J10" s="192">
        <f t="shared" si="1"/>
        <v>0</v>
      </c>
      <c r="K10" s="192">
        <f t="shared" si="2"/>
        <v>0</v>
      </c>
      <c r="L10" s="192">
        <f t="shared" si="14"/>
        <v>0</v>
      </c>
      <c r="M10" s="194"/>
      <c r="N10" s="192"/>
      <c r="O10" s="22">
        <f t="shared" si="3"/>
        <v>0</v>
      </c>
      <c r="P10" s="22">
        <f t="shared" si="10"/>
        <v>0</v>
      </c>
      <c r="Q10" s="22">
        <f>SUM(H10:N10)</f>
        <v>0</v>
      </c>
      <c r="R10" s="186" t="e">
        <f t="shared" si="11"/>
        <v>#DIV/0!</v>
      </c>
      <c r="S10" s="195">
        <f t="shared" si="4"/>
        <v>0</v>
      </c>
      <c r="T10" s="191">
        <f>ENTRADA!J17</f>
        <v>0</v>
      </c>
      <c r="U10" s="24">
        <f>ENTRADA!J36</f>
        <v>0</v>
      </c>
      <c r="V10" s="35">
        <f t="shared" si="12"/>
        <v>0</v>
      </c>
      <c r="W10" s="22">
        <f t="shared" si="5"/>
        <v>0</v>
      </c>
      <c r="X10" s="23">
        <v>0</v>
      </c>
      <c r="Y10" s="22">
        <f t="shared" si="6"/>
        <v>0</v>
      </c>
      <c r="Z10" s="24">
        <f t="shared" si="7"/>
        <v>0</v>
      </c>
      <c r="AA10" s="212"/>
      <c r="AB10" s="320">
        <v>42490</v>
      </c>
      <c r="AC10" s="320">
        <f t="shared" ca="1" si="13"/>
        <v>43442</v>
      </c>
    </row>
    <row r="11" spans="2:34" s="12" customFormat="1" ht="16.5" customHeight="1">
      <c r="B11" s="536" t="s">
        <v>41</v>
      </c>
      <c r="C11" s="184"/>
      <c r="D11" s="22"/>
      <c r="E11" s="193"/>
      <c r="F11" s="321"/>
      <c r="G11" s="31">
        <f t="shared" si="8"/>
        <v>0</v>
      </c>
      <c r="H11" s="193">
        <f t="shared" si="15"/>
        <v>0</v>
      </c>
      <c r="I11" s="192">
        <f t="shared" si="9"/>
        <v>0</v>
      </c>
      <c r="J11" s="192">
        <f t="shared" si="1"/>
        <v>0</v>
      </c>
      <c r="K11" s="192">
        <f t="shared" si="2"/>
        <v>0</v>
      </c>
      <c r="L11" s="192">
        <f t="shared" si="14"/>
        <v>0</v>
      </c>
      <c r="M11" s="194"/>
      <c r="N11" s="192"/>
      <c r="O11" s="22">
        <f t="shared" si="3"/>
        <v>0</v>
      </c>
      <c r="P11" s="22">
        <f t="shared" si="10"/>
        <v>0</v>
      </c>
      <c r="Q11" s="22">
        <f>O11+P11</f>
        <v>0</v>
      </c>
      <c r="R11" s="186" t="e">
        <f t="shared" si="11"/>
        <v>#DIV/0!</v>
      </c>
      <c r="S11" s="195">
        <f t="shared" si="4"/>
        <v>0</v>
      </c>
      <c r="T11" s="191">
        <f>ENTRADA!L17</f>
        <v>0</v>
      </c>
      <c r="U11" s="24">
        <f>ENTRADA!L36</f>
        <v>190</v>
      </c>
      <c r="V11" s="35">
        <f t="shared" si="12"/>
        <v>0</v>
      </c>
      <c r="W11" s="22">
        <f t="shared" si="5"/>
        <v>0</v>
      </c>
      <c r="X11" s="23">
        <v>0</v>
      </c>
      <c r="Y11" s="22">
        <f t="shared" si="6"/>
        <v>0</v>
      </c>
      <c r="Z11" s="24">
        <f t="shared" si="7"/>
        <v>0</v>
      </c>
      <c r="AA11" s="211"/>
      <c r="AB11" s="320">
        <v>42521</v>
      </c>
      <c r="AC11" s="320">
        <f t="shared" ca="1" si="13"/>
        <v>43442</v>
      </c>
    </row>
    <row r="12" spans="2:34" s="12" customFormat="1" ht="16.5" customHeight="1">
      <c r="B12" s="536" t="s">
        <v>42</v>
      </c>
      <c r="C12" s="184"/>
      <c r="D12" s="22"/>
      <c r="E12" s="193"/>
      <c r="F12" s="321"/>
      <c r="G12" s="31">
        <f t="shared" si="8"/>
        <v>0</v>
      </c>
      <c r="H12" s="193">
        <f t="shared" si="15"/>
        <v>0</v>
      </c>
      <c r="I12" s="192">
        <f t="shared" si="9"/>
        <v>0</v>
      </c>
      <c r="J12" s="192">
        <f t="shared" si="1"/>
        <v>0</v>
      </c>
      <c r="K12" s="192">
        <f t="shared" si="2"/>
        <v>0</v>
      </c>
      <c r="L12" s="192">
        <f t="shared" si="14"/>
        <v>0</v>
      </c>
      <c r="M12" s="194"/>
      <c r="N12" s="192"/>
      <c r="O12" s="22">
        <f t="shared" si="3"/>
        <v>0</v>
      </c>
      <c r="P12" s="22">
        <f t="shared" si="10"/>
        <v>0</v>
      </c>
      <c r="Q12" s="22">
        <f t="shared" ref="Q12:Q18" si="16">SUM(H12:N12)</f>
        <v>0</v>
      </c>
      <c r="R12" s="186" t="e">
        <f t="shared" si="11"/>
        <v>#DIV/0!</v>
      </c>
      <c r="S12" s="195">
        <f t="shared" si="4"/>
        <v>0</v>
      </c>
      <c r="T12" s="191">
        <f>ENTRADA!N17</f>
        <v>0</v>
      </c>
      <c r="U12" s="24">
        <f>ENTRADA!N36</f>
        <v>0</v>
      </c>
      <c r="V12" s="35">
        <f t="shared" si="12"/>
        <v>0</v>
      </c>
      <c r="W12" s="22">
        <f t="shared" si="5"/>
        <v>0</v>
      </c>
      <c r="X12" s="23">
        <v>0</v>
      </c>
      <c r="Y12" s="22">
        <f t="shared" si="6"/>
        <v>0</v>
      </c>
      <c r="Z12" s="24">
        <f t="shared" si="7"/>
        <v>0</v>
      </c>
      <c r="AA12" s="211"/>
      <c r="AB12" s="320">
        <v>42551</v>
      </c>
      <c r="AC12" s="320">
        <f t="shared" ca="1" si="13"/>
        <v>43442</v>
      </c>
      <c r="AD12" s="201"/>
    </row>
    <row r="13" spans="2:34" s="12" customFormat="1" ht="16.5" customHeight="1">
      <c r="B13" s="536" t="s">
        <v>43</v>
      </c>
      <c r="C13" s="184"/>
      <c r="D13" s="22"/>
      <c r="E13" s="193"/>
      <c r="F13" s="321"/>
      <c r="G13" s="31">
        <f>SUM(E13:F13)</f>
        <v>0</v>
      </c>
      <c r="H13" s="193">
        <f t="shared" si="15"/>
        <v>0</v>
      </c>
      <c r="I13" s="192">
        <f t="shared" si="9"/>
        <v>0</v>
      </c>
      <c r="J13" s="192">
        <f t="shared" si="1"/>
        <v>0</v>
      </c>
      <c r="K13" s="192">
        <f t="shared" si="2"/>
        <v>0</v>
      </c>
      <c r="L13" s="192">
        <f t="shared" si="14"/>
        <v>0</v>
      </c>
      <c r="M13" s="194"/>
      <c r="N13" s="192"/>
      <c r="O13" s="22">
        <f t="shared" si="3"/>
        <v>0</v>
      </c>
      <c r="P13" s="22">
        <f t="shared" si="10"/>
        <v>0</v>
      </c>
      <c r="Q13" s="22">
        <f t="shared" si="16"/>
        <v>0</v>
      </c>
      <c r="R13" s="186" t="e">
        <f t="shared" si="11"/>
        <v>#DIV/0!</v>
      </c>
      <c r="S13" s="195">
        <f t="shared" ref="S13:S18" si="17">G13</f>
        <v>0</v>
      </c>
      <c r="T13" s="191">
        <f>ENTRADA!P17</f>
        <v>0</v>
      </c>
      <c r="U13" s="24">
        <f>ENTRADA!P36</f>
        <v>0</v>
      </c>
      <c r="V13" s="35">
        <f t="shared" si="12"/>
        <v>0</v>
      </c>
      <c r="W13" s="22">
        <f t="shared" si="5"/>
        <v>0</v>
      </c>
      <c r="X13" s="23">
        <v>0</v>
      </c>
      <c r="Y13" s="22">
        <f t="shared" si="6"/>
        <v>0</v>
      </c>
      <c r="Z13" s="24">
        <f t="shared" si="7"/>
        <v>0</v>
      </c>
      <c r="AA13" s="211"/>
      <c r="AB13" s="320">
        <v>42582</v>
      </c>
      <c r="AC13" s="320">
        <f t="shared" ca="1" si="13"/>
        <v>43442</v>
      </c>
    </row>
    <row r="14" spans="2:34" s="12" customFormat="1" ht="16.5" customHeight="1">
      <c r="B14" s="536" t="s">
        <v>44</v>
      </c>
      <c r="C14" s="184"/>
      <c r="D14" s="22"/>
      <c r="E14" s="193"/>
      <c r="F14" s="321"/>
      <c r="G14" s="31">
        <f t="shared" si="8"/>
        <v>0</v>
      </c>
      <c r="H14" s="193">
        <f t="shared" si="15"/>
        <v>0</v>
      </c>
      <c r="I14" s="192">
        <f t="shared" si="9"/>
        <v>0</v>
      </c>
      <c r="J14" s="192">
        <f t="shared" si="1"/>
        <v>0</v>
      </c>
      <c r="K14" s="192">
        <f t="shared" si="2"/>
        <v>0</v>
      </c>
      <c r="L14" s="192">
        <f t="shared" si="14"/>
        <v>0</v>
      </c>
      <c r="M14" s="194"/>
      <c r="N14" s="192"/>
      <c r="O14" s="22">
        <f t="shared" si="3"/>
        <v>0</v>
      </c>
      <c r="P14" s="22">
        <f t="shared" si="10"/>
        <v>0</v>
      </c>
      <c r="Q14" s="22">
        <f t="shared" si="16"/>
        <v>0</v>
      </c>
      <c r="R14" s="186" t="e">
        <f t="shared" si="11"/>
        <v>#DIV/0!</v>
      </c>
      <c r="S14" s="195">
        <f t="shared" si="17"/>
        <v>0</v>
      </c>
      <c r="T14" s="191">
        <f>ENTRADA!R17</f>
        <v>0</v>
      </c>
      <c r="U14" s="24">
        <f>ENTRADA!R36</f>
        <v>0</v>
      </c>
      <c r="V14" s="35">
        <f t="shared" si="12"/>
        <v>0</v>
      </c>
      <c r="W14" s="22">
        <f t="shared" si="5"/>
        <v>0</v>
      </c>
      <c r="X14" s="23">
        <v>0</v>
      </c>
      <c r="Y14" s="22">
        <f t="shared" si="6"/>
        <v>0</v>
      </c>
      <c r="Z14" s="24">
        <f t="shared" si="7"/>
        <v>0</v>
      </c>
      <c r="AA14" s="211"/>
      <c r="AB14" s="320">
        <v>42613</v>
      </c>
      <c r="AC14" s="320">
        <f t="shared" ca="1" si="13"/>
        <v>43442</v>
      </c>
    </row>
    <row r="15" spans="2:34" s="12" customFormat="1" ht="16.5" customHeight="1">
      <c r="B15" s="536" t="s">
        <v>45</v>
      </c>
      <c r="C15" s="184"/>
      <c r="D15" s="22"/>
      <c r="E15" s="193"/>
      <c r="F15" s="321"/>
      <c r="G15" s="31">
        <f t="shared" si="8"/>
        <v>0</v>
      </c>
      <c r="H15" s="193">
        <f t="shared" si="15"/>
        <v>0</v>
      </c>
      <c r="I15" s="192">
        <f t="shared" si="9"/>
        <v>0</v>
      </c>
      <c r="J15" s="192">
        <f t="shared" si="1"/>
        <v>0</v>
      </c>
      <c r="K15" s="192">
        <f t="shared" si="2"/>
        <v>0</v>
      </c>
      <c r="L15" s="192">
        <f t="shared" si="14"/>
        <v>0</v>
      </c>
      <c r="M15" s="194"/>
      <c r="N15" s="192"/>
      <c r="O15" s="22">
        <f>H15+J15+K15+M15</f>
        <v>0</v>
      </c>
      <c r="P15" s="22">
        <f>I15+L15+N15</f>
        <v>0</v>
      </c>
      <c r="Q15" s="22">
        <f>SUM(H15:N15)</f>
        <v>0</v>
      </c>
      <c r="R15" s="186" t="e">
        <f>Q15/SUM(C15:D15)</f>
        <v>#DIV/0!</v>
      </c>
      <c r="S15" s="195">
        <f t="shared" si="17"/>
        <v>0</v>
      </c>
      <c r="T15" s="191">
        <f>ENTRADA!T17</f>
        <v>0</v>
      </c>
      <c r="U15" s="24">
        <f>ENTRADA!T36</f>
        <v>0</v>
      </c>
      <c r="V15" s="35">
        <f t="shared" si="12"/>
        <v>0</v>
      </c>
      <c r="W15" s="22">
        <f t="shared" si="5"/>
        <v>0</v>
      </c>
      <c r="X15" s="23">
        <v>0</v>
      </c>
      <c r="Y15" s="22">
        <f t="shared" si="6"/>
        <v>0</v>
      </c>
      <c r="Z15" s="24">
        <f t="shared" si="7"/>
        <v>0</v>
      </c>
      <c r="AA15" s="211"/>
      <c r="AB15" s="320">
        <v>42643</v>
      </c>
      <c r="AC15" s="320">
        <f t="shared" ca="1" si="13"/>
        <v>43442</v>
      </c>
    </row>
    <row r="16" spans="2:34" s="12" customFormat="1" ht="16.5" customHeight="1">
      <c r="B16" s="536" t="s">
        <v>46</v>
      </c>
      <c r="C16" s="184"/>
      <c r="D16" s="22"/>
      <c r="E16" s="193"/>
      <c r="F16" s="321"/>
      <c r="G16" s="31">
        <f t="shared" si="8"/>
        <v>0</v>
      </c>
      <c r="H16" s="193">
        <f t="shared" si="15"/>
        <v>0</v>
      </c>
      <c r="I16" s="192">
        <f t="shared" si="9"/>
        <v>0</v>
      </c>
      <c r="J16" s="192">
        <f t="shared" si="1"/>
        <v>0</v>
      </c>
      <c r="K16" s="192">
        <f t="shared" si="2"/>
        <v>0</v>
      </c>
      <c r="L16" s="192">
        <f t="shared" si="14"/>
        <v>0</v>
      </c>
      <c r="M16" s="194"/>
      <c r="N16" s="192"/>
      <c r="O16" s="22">
        <f>H16+J16+K16+M16</f>
        <v>0</v>
      </c>
      <c r="P16" s="22">
        <f>I16+L16+N16</f>
        <v>0</v>
      </c>
      <c r="Q16" s="22">
        <f t="shared" si="16"/>
        <v>0</v>
      </c>
      <c r="R16" s="186" t="e">
        <f t="shared" si="11"/>
        <v>#DIV/0!</v>
      </c>
      <c r="S16" s="195">
        <f t="shared" si="17"/>
        <v>0</v>
      </c>
      <c r="T16" s="191">
        <f>ENTRADA!V17</f>
        <v>0</v>
      </c>
      <c r="U16" s="24">
        <f>ENTRADA!V36</f>
        <v>0</v>
      </c>
      <c r="V16" s="35">
        <f t="shared" si="12"/>
        <v>0</v>
      </c>
      <c r="W16" s="22">
        <f t="shared" si="5"/>
        <v>0</v>
      </c>
      <c r="X16" s="23">
        <v>0</v>
      </c>
      <c r="Y16" s="22">
        <f t="shared" si="6"/>
        <v>0</v>
      </c>
      <c r="Z16" s="24">
        <f t="shared" si="7"/>
        <v>0</v>
      </c>
      <c r="AA16" s="211"/>
      <c r="AB16" s="320">
        <v>42674</v>
      </c>
      <c r="AC16" s="320">
        <f t="shared" ca="1" si="13"/>
        <v>43442</v>
      </c>
    </row>
    <row r="17" spans="2:34" s="12" customFormat="1" ht="16.5" customHeight="1">
      <c r="B17" s="536" t="s">
        <v>47</v>
      </c>
      <c r="C17" s="184"/>
      <c r="D17" s="22"/>
      <c r="E17" s="193"/>
      <c r="F17" s="321"/>
      <c r="G17" s="31">
        <f t="shared" si="8"/>
        <v>0</v>
      </c>
      <c r="H17" s="193">
        <f t="shared" si="15"/>
        <v>0</v>
      </c>
      <c r="I17" s="192">
        <f t="shared" si="9"/>
        <v>0</v>
      </c>
      <c r="J17" s="192">
        <f t="shared" si="1"/>
        <v>0</v>
      </c>
      <c r="K17" s="192">
        <f t="shared" si="2"/>
        <v>0</v>
      </c>
      <c r="L17" s="192">
        <f t="shared" si="14"/>
        <v>0</v>
      </c>
      <c r="M17" s="194"/>
      <c r="N17" s="192"/>
      <c r="O17" s="22">
        <f>H17+J17+K17+M17</f>
        <v>0</v>
      </c>
      <c r="P17" s="22">
        <f>I17+L17+N17</f>
        <v>0</v>
      </c>
      <c r="Q17" s="22">
        <f t="shared" si="16"/>
        <v>0</v>
      </c>
      <c r="R17" s="186" t="e">
        <f t="shared" si="11"/>
        <v>#DIV/0!</v>
      </c>
      <c r="S17" s="195">
        <f t="shared" si="17"/>
        <v>0</v>
      </c>
      <c r="T17" s="191">
        <f>ENTRADA!X17</f>
        <v>0</v>
      </c>
      <c r="U17" s="24">
        <f>ENTRADA!X36</f>
        <v>0</v>
      </c>
      <c r="V17" s="35">
        <f t="shared" si="12"/>
        <v>0</v>
      </c>
      <c r="W17" s="22">
        <f t="shared" si="5"/>
        <v>0</v>
      </c>
      <c r="X17" s="23">
        <v>0</v>
      </c>
      <c r="Y17" s="22">
        <f t="shared" si="6"/>
        <v>0</v>
      </c>
      <c r="Z17" s="24">
        <f t="shared" si="7"/>
        <v>0</v>
      </c>
      <c r="AA17" s="211"/>
      <c r="AB17" s="320">
        <v>42704</v>
      </c>
      <c r="AC17" s="320">
        <f t="shared" ca="1" si="13"/>
        <v>43442</v>
      </c>
    </row>
    <row r="18" spans="2:34" s="12" customFormat="1" ht="16.5" customHeight="1" thickBot="1">
      <c r="B18" s="536" t="s">
        <v>48</v>
      </c>
      <c r="C18" s="184"/>
      <c r="D18" s="22"/>
      <c r="E18" s="193"/>
      <c r="F18" s="321"/>
      <c r="G18" s="31">
        <f t="shared" si="8"/>
        <v>0</v>
      </c>
      <c r="H18" s="193">
        <f t="shared" si="15"/>
        <v>0</v>
      </c>
      <c r="I18" s="193">
        <f>IF(D18&lt;$D$26,$E$26*D18,IF(AND(D18&gt;$C$27,D18&lt;$D$27),$E$27*D18,IF(AND(D18&gt;$C$28,D18&lt;$D$28),$E$28*D18,IF(D18&gt;$D$28,$E$29))))</f>
        <v>0</v>
      </c>
      <c r="J18" s="192">
        <f t="shared" si="1"/>
        <v>0</v>
      </c>
      <c r="K18" s="192">
        <f t="shared" si="2"/>
        <v>0</v>
      </c>
      <c r="L18" s="192">
        <f t="shared" si="14"/>
        <v>0</v>
      </c>
      <c r="M18" s="194"/>
      <c r="N18" s="192"/>
      <c r="O18" s="182">
        <f>SUM(H18:N18)</f>
        <v>0</v>
      </c>
      <c r="P18" s="182">
        <f>I18+L18+N18</f>
        <v>0</v>
      </c>
      <c r="Q18" s="22">
        <f t="shared" si="16"/>
        <v>0</v>
      </c>
      <c r="R18" s="186" t="e">
        <f t="shared" si="11"/>
        <v>#DIV/0!</v>
      </c>
      <c r="S18" s="195">
        <f t="shared" si="17"/>
        <v>0</v>
      </c>
      <c r="T18" s="191">
        <f>ENTRADA!Z17</f>
        <v>0</v>
      </c>
      <c r="U18" s="26">
        <f>ENTRADA!Z36</f>
        <v>0</v>
      </c>
      <c r="V18" s="35">
        <f t="shared" si="12"/>
        <v>0</v>
      </c>
      <c r="W18" s="22">
        <f t="shared" si="5"/>
        <v>0</v>
      </c>
      <c r="X18" s="25">
        <v>0</v>
      </c>
      <c r="Y18" s="22">
        <f t="shared" si="6"/>
        <v>0</v>
      </c>
      <c r="Z18" s="24">
        <f t="shared" si="7"/>
        <v>0</v>
      </c>
      <c r="AA18" s="211"/>
      <c r="AB18" s="320">
        <v>42735</v>
      </c>
      <c r="AC18" s="320">
        <f t="shared" ca="1" si="13"/>
        <v>43442</v>
      </c>
    </row>
    <row r="19" spans="2:34" s="21" customFormat="1" ht="16.5" customHeight="1" thickBot="1">
      <c r="B19" s="190" t="s">
        <v>143</v>
      </c>
      <c r="C19" s="318">
        <f>SUM(C7:C18)</f>
        <v>0</v>
      </c>
      <c r="D19" s="318">
        <f>SUM(D7:D18)</f>
        <v>0</v>
      </c>
      <c r="E19" s="187">
        <f>SUM(E7:E18)</f>
        <v>0</v>
      </c>
      <c r="F19" s="32">
        <f t="shared" ref="F19:Z19" si="18">SUM(F7:F18)</f>
        <v>0</v>
      </c>
      <c r="G19" s="33">
        <f t="shared" si="18"/>
        <v>0</v>
      </c>
      <c r="H19" s="187">
        <f t="shared" si="18"/>
        <v>0</v>
      </c>
      <c r="I19" s="32">
        <f t="shared" si="18"/>
        <v>80</v>
      </c>
      <c r="J19" s="32">
        <f t="shared" si="18"/>
        <v>0</v>
      </c>
      <c r="K19" s="32">
        <f t="shared" si="18"/>
        <v>0</v>
      </c>
      <c r="L19" s="32">
        <f t="shared" si="18"/>
        <v>0</v>
      </c>
      <c r="M19" s="32">
        <f t="shared" si="18"/>
        <v>0</v>
      </c>
      <c r="N19" s="32">
        <f t="shared" si="18"/>
        <v>0</v>
      </c>
      <c r="O19" s="32"/>
      <c r="P19" s="32"/>
      <c r="Q19" s="32">
        <f t="shared" si="18"/>
        <v>80</v>
      </c>
      <c r="R19" s="188" t="e">
        <f>Q19/(E19+F19)</f>
        <v>#DIV/0!</v>
      </c>
      <c r="S19" s="200">
        <f t="shared" si="18"/>
        <v>0</v>
      </c>
      <c r="T19" s="187">
        <f>SUM(T7:T18)</f>
        <v>0</v>
      </c>
      <c r="U19" s="33">
        <f>SUM(U7:U18)</f>
        <v>190</v>
      </c>
      <c r="V19" s="36">
        <f t="shared" si="18"/>
        <v>0</v>
      </c>
      <c r="W19" s="32">
        <f t="shared" si="18"/>
        <v>-80</v>
      </c>
      <c r="X19" s="32">
        <f t="shared" si="18"/>
        <v>0</v>
      </c>
      <c r="Y19" s="32">
        <f t="shared" si="18"/>
        <v>0</v>
      </c>
      <c r="Z19" s="33">
        <f t="shared" si="18"/>
        <v>0</v>
      </c>
      <c r="AA19" s="213"/>
      <c r="AB19" s="320"/>
    </row>
    <row r="20" spans="2:34" s="11" customFormat="1" ht="8.25" customHeight="1">
      <c r="AA20" s="208"/>
      <c r="AB20" s="98"/>
    </row>
    <row r="21" spans="2:34" s="7" customFormat="1" ht="16.5" customHeight="1">
      <c r="B21" s="305" t="s">
        <v>50</v>
      </c>
      <c r="C21" s="305"/>
      <c r="D21" s="538">
        <f>C19*12%</f>
        <v>0</v>
      </c>
      <c r="E21" s="358"/>
      <c r="F21" s="309"/>
      <c r="G21" s="309"/>
      <c r="H21" s="309"/>
      <c r="I21" s="309"/>
      <c r="J21" s="309"/>
      <c r="K21" s="309"/>
      <c r="L21" s="309"/>
      <c r="M21" s="309"/>
      <c r="N21" s="309"/>
      <c r="O21" s="310"/>
      <c r="P21" s="310"/>
      <c r="Q21" s="309"/>
      <c r="R21" s="309"/>
      <c r="S21" s="309"/>
      <c r="T21" s="309"/>
      <c r="U21" s="309"/>
      <c r="V21" s="309"/>
      <c r="W21" s="309"/>
      <c r="X21" s="309"/>
      <c r="Y21" s="309"/>
      <c r="Z21" s="309"/>
      <c r="AA21" s="309"/>
      <c r="AB21" s="309"/>
      <c r="AC21" s="309"/>
      <c r="AD21" s="309"/>
      <c r="AE21" s="309"/>
      <c r="AF21" s="309"/>
      <c r="AG21" s="310"/>
      <c r="AH21" s="309"/>
    </row>
    <row r="22" spans="2:34" s="11" customFormat="1" ht="6.75" customHeight="1">
      <c r="B22" s="14"/>
      <c r="C22" s="14"/>
      <c r="D22" s="14"/>
      <c r="AA22" s="208"/>
      <c r="AB22" s="98"/>
    </row>
    <row r="23" spans="2:34" s="11" customFormat="1">
      <c r="K23" s="70"/>
      <c r="U23" s="319"/>
      <c r="X23" s="70"/>
      <c r="AA23" s="208"/>
      <c r="AB23" s="98"/>
    </row>
    <row r="24" spans="2:34" s="11" customFormat="1">
      <c r="C24" s="15" t="s">
        <v>144</v>
      </c>
      <c r="G24" s="15" t="s">
        <v>145</v>
      </c>
      <c r="M24" s="70"/>
      <c r="U24" s="319"/>
      <c r="AA24" s="208"/>
      <c r="AB24" s="98"/>
      <c r="AC24" s="70"/>
    </row>
    <row r="25" spans="2:34" s="11" customFormat="1">
      <c r="C25" s="16" t="s">
        <v>16</v>
      </c>
      <c r="D25" s="16" t="s">
        <v>17</v>
      </c>
      <c r="E25" s="16" t="s">
        <v>18</v>
      </c>
      <c r="G25" s="16" t="s">
        <v>16</v>
      </c>
      <c r="H25" s="16" t="s">
        <v>17</v>
      </c>
      <c r="I25" s="16" t="s">
        <v>18</v>
      </c>
      <c r="J25" s="16" t="s">
        <v>19</v>
      </c>
      <c r="M25" s="70"/>
      <c r="AA25" s="208"/>
      <c r="AB25" s="98"/>
      <c r="AC25" s="70"/>
    </row>
    <row r="26" spans="2:34" s="11" customFormat="1">
      <c r="C26" s="17">
        <v>0</v>
      </c>
      <c r="D26" s="17">
        <v>1556.94</v>
      </c>
      <c r="E26" s="18">
        <v>0.08</v>
      </c>
      <c r="G26" s="17">
        <v>0</v>
      </c>
      <c r="H26" s="17">
        <v>1903.98</v>
      </c>
      <c r="I26" s="20">
        <v>0</v>
      </c>
      <c r="J26" s="17">
        <v>0</v>
      </c>
      <c r="AA26" s="208"/>
      <c r="AB26" s="98"/>
    </row>
    <row r="27" spans="2:34" s="11" customFormat="1">
      <c r="C27" s="17">
        <f>D26+0.01</f>
        <v>1556.95</v>
      </c>
      <c r="D27" s="17">
        <v>2594.92</v>
      </c>
      <c r="E27" s="18">
        <v>0.09</v>
      </c>
      <c r="G27" s="17">
        <f>H26+0.01</f>
        <v>1903.99</v>
      </c>
      <c r="H27" s="17">
        <v>2826.65</v>
      </c>
      <c r="I27" s="20">
        <v>7.4999999999999997E-2</v>
      </c>
      <c r="J27" s="17">
        <v>142.80000000000001</v>
      </c>
      <c r="AA27" s="208"/>
      <c r="AB27" s="98"/>
    </row>
    <row r="28" spans="2:34" s="11" customFormat="1">
      <c r="C28" s="17">
        <f>D27+0.01</f>
        <v>2594.9300000000003</v>
      </c>
      <c r="D28" s="17">
        <v>5189.82</v>
      </c>
      <c r="E28" s="18">
        <v>0.11</v>
      </c>
      <c r="G28" s="17">
        <f>H27+0.01</f>
        <v>2826.6600000000003</v>
      </c>
      <c r="H28" s="17">
        <v>3751.05</v>
      </c>
      <c r="I28" s="20">
        <v>0.15</v>
      </c>
      <c r="J28" s="17">
        <v>354.8</v>
      </c>
      <c r="AA28" s="208"/>
      <c r="AB28" s="98"/>
    </row>
    <row r="29" spans="2:34" s="11" customFormat="1">
      <c r="C29" s="19"/>
      <c r="D29" s="16" t="s">
        <v>20</v>
      </c>
      <c r="E29" s="17">
        <v>570.88</v>
      </c>
      <c r="G29" s="17">
        <f>H28+0.01</f>
        <v>3751.0600000000004</v>
      </c>
      <c r="H29" s="17">
        <v>4664.68</v>
      </c>
      <c r="I29" s="20">
        <v>0.22500000000000001</v>
      </c>
      <c r="J29" s="17">
        <v>636.13</v>
      </c>
      <c r="AA29" s="208"/>
      <c r="AB29" s="98"/>
    </row>
    <row r="30" spans="2:34" s="11" customFormat="1">
      <c r="G30" s="269" t="s">
        <v>173</v>
      </c>
      <c r="H30" s="270"/>
      <c r="I30" s="20">
        <v>0.27500000000000002</v>
      </c>
      <c r="J30" s="17">
        <v>869.36</v>
      </c>
      <c r="AA30" s="208"/>
      <c r="AB30" s="98"/>
    </row>
    <row r="31" spans="2:34" s="11" customFormat="1">
      <c r="C31" s="267" t="s">
        <v>23</v>
      </c>
      <c r="D31" s="268"/>
      <c r="AA31" s="208"/>
      <c r="AB31" s="98"/>
    </row>
    <row r="32" spans="2:34" s="11" customFormat="1">
      <c r="C32" s="19" t="s">
        <v>51</v>
      </c>
      <c r="D32" s="18">
        <v>0.08</v>
      </c>
      <c r="AA32" s="208"/>
      <c r="AB32" s="98"/>
    </row>
    <row r="33" spans="2:28" s="11" customFormat="1">
      <c r="AA33" s="208"/>
      <c r="AB33" s="98"/>
    </row>
    <row r="34" spans="2:28" s="11" customFormat="1">
      <c r="C34" s="267" t="s">
        <v>52</v>
      </c>
      <c r="D34" s="268"/>
      <c r="AA34" s="208"/>
      <c r="AB34" s="98"/>
    </row>
    <row r="35" spans="2:28" ht="12.75" customHeight="1">
      <c r="C35" s="19" t="s">
        <v>51</v>
      </c>
      <c r="D35" s="18">
        <v>0.06</v>
      </c>
      <c r="E35" s="11"/>
      <c r="F35" s="70"/>
      <c r="G35" s="11"/>
      <c r="H35" s="11"/>
      <c r="I35" s="11"/>
      <c r="J35" s="11"/>
      <c r="M35" s="44"/>
      <c r="N35" s="45"/>
      <c r="O35" s="44"/>
      <c r="P35" s="44"/>
      <c r="Q35" s="44"/>
      <c r="R35" s="44"/>
      <c r="S35" s="44"/>
      <c r="T35" s="46"/>
      <c r="U35" s="44"/>
      <c r="V35" s="44"/>
      <c r="W35" s="44"/>
      <c r="X35" s="44"/>
    </row>
    <row r="36" spans="2:28">
      <c r="E36" s="11"/>
      <c r="F36" s="11"/>
      <c r="G36" s="11"/>
      <c r="H36" s="11"/>
      <c r="I36" s="11"/>
      <c r="J36" s="11"/>
      <c r="K36" s="11"/>
      <c r="L36" s="11"/>
      <c r="M36" s="44"/>
      <c r="N36" s="47"/>
      <c r="O36" s="47"/>
      <c r="P36" s="47"/>
      <c r="Q36" s="180"/>
      <c r="R36" s="180"/>
      <c r="S36" s="47"/>
      <c r="T36" s="46"/>
      <c r="U36" s="44"/>
      <c r="V36" s="44"/>
      <c r="W36" s="44"/>
      <c r="X36" s="44"/>
    </row>
    <row r="37" spans="2:28" ht="16.5" customHeight="1">
      <c r="E37" s="43"/>
      <c r="F37" s="37"/>
      <c r="G37" s="37"/>
      <c r="H37" s="37"/>
      <c r="I37" s="37"/>
      <c r="J37" s="37"/>
      <c r="K37" s="37"/>
      <c r="L37" s="37"/>
      <c r="M37" s="44"/>
      <c r="N37" s="47"/>
      <c r="O37" s="47"/>
      <c r="P37" s="47"/>
      <c r="Q37" s="180"/>
      <c r="R37" s="180"/>
      <c r="S37" s="47"/>
      <c r="T37" s="46"/>
      <c r="U37" s="44"/>
      <c r="V37" s="44"/>
      <c r="W37" s="44"/>
      <c r="X37" s="44"/>
    </row>
    <row r="38" spans="2:28">
      <c r="B38" s="8"/>
      <c r="C38" s="311"/>
      <c r="D38" s="311"/>
      <c r="E38" s="43"/>
      <c r="F38" s="37"/>
      <c r="G38" s="37"/>
      <c r="H38" s="37"/>
      <c r="I38" s="37"/>
      <c r="J38" s="37"/>
      <c r="K38" s="37"/>
      <c r="L38" s="37"/>
      <c r="M38" s="44"/>
      <c r="N38" s="47"/>
      <c r="O38" s="47"/>
      <c r="P38" s="47"/>
      <c r="Q38" s="180"/>
      <c r="R38" s="180"/>
      <c r="S38" s="47"/>
      <c r="T38" s="46"/>
      <c r="U38" s="44"/>
      <c r="V38" s="44"/>
      <c r="W38" s="44"/>
      <c r="X38" s="44"/>
    </row>
    <row r="39" spans="2:28">
      <c r="B39" s="8"/>
      <c r="C39" s="311"/>
      <c r="D39" s="311"/>
      <c r="E39" s="43"/>
      <c r="F39" s="37"/>
      <c r="G39" s="37"/>
      <c r="H39" s="37"/>
      <c r="I39" s="37"/>
      <c r="J39" s="37"/>
      <c r="K39" s="37"/>
      <c r="L39" s="37"/>
      <c r="M39" s="44"/>
      <c r="N39" s="47"/>
      <c r="O39" s="47"/>
      <c r="P39" s="48"/>
      <c r="Q39" s="48"/>
      <c r="R39" s="48"/>
      <c r="S39" s="49"/>
      <c r="T39" s="46"/>
      <c r="U39" s="44"/>
      <c r="V39" s="44"/>
      <c r="W39" s="44"/>
      <c r="X39" s="44"/>
    </row>
    <row r="40" spans="2:28">
      <c r="B40" s="8"/>
      <c r="C40" s="311"/>
      <c r="D40" s="311"/>
      <c r="E40" s="50"/>
      <c r="F40" s="38"/>
      <c r="G40" s="38"/>
      <c r="H40" s="38"/>
      <c r="I40" s="38"/>
      <c r="J40" s="38"/>
      <c r="K40" s="38"/>
      <c r="L40" s="38"/>
      <c r="M40" s="44"/>
      <c r="N40" s="47"/>
      <c r="O40" s="47"/>
      <c r="P40" s="48"/>
      <c r="Q40" s="48"/>
      <c r="R40" s="48"/>
      <c r="S40" s="49"/>
      <c r="T40" s="46"/>
      <c r="U40" s="44"/>
      <c r="V40" s="44"/>
      <c r="W40" s="44"/>
      <c r="X40" s="44"/>
    </row>
    <row r="41" spans="2:28">
      <c r="B41" s="8"/>
      <c r="C41" s="311"/>
      <c r="D41" s="311"/>
      <c r="E41" s="43"/>
      <c r="F41" s="37"/>
      <c r="G41" s="37"/>
      <c r="H41" s="37"/>
      <c r="I41" s="37"/>
      <c r="J41" s="37"/>
      <c r="K41" s="37"/>
      <c r="L41" s="37"/>
      <c r="M41" s="44"/>
      <c r="N41" s="47"/>
      <c r="O41" s="47"/>
      <c r="P41" s="48"/>
      <c r="Q41" s="48"/>
      <c r="R41" s="48"/>
      <c r="S41" s="49"/>
      <c r="T41" s="46"/>
      <c r="U41" s="44"/>
      <c r="V41" s="44"/>
      <c r="W41" s="44"/>
      <c r="X41" s="44"/>
    </row>
    <row r="42" spans="2:28">
      <c r="B42" s="8"/>
      <c r="C42" s="311"/>
      <c r="D42" s="311"/>
      <c r="E42" s="43"/>
      <c r="F42" s="37"/>
      <c r="G42" s="37"/>
      <c r="H42" s="37"/>
      <c r="I42" s="37"/>
      <c r="J42" s="37"/>
      <c r="K42" s="37"/>
      <c r="L42" s="37"/>
      <c r="M42" s="44"/>
      <c r="N42" s="47"/>
      <c r="O42" s="47"/>
      <c r="P42" s="48"/>
      <c r="Q42" s="48"/>
      <c r="R42" s="48"/>
      <c r="S42" s="49"/>
      <c r="T42" s="46"/>
      <c r="U42" s="44"/>
      <c r="V42" s="44"/>
      <c r="W42" s="44"/>
      <c r="X42" s="44"/>
    </row>
    <row r="43" spans="2:28">
      <c r="B43" s="8"/>
      <c r="C43" s="311"/>
      <c r="D43" s="311"/>
      <c r="E43" s="43"/>
      <c r="F43" s="37"/>
      <c r="G43" s="37"/>
      <c r="H43" s="37"/>
      <c r="I43" s="37"/>
      <c r="J43" s="37"/>
      <c r="K43" s="37"/>
      <c r="L43" s="37"/>
      <c r="M43" s="44"/>
      <c r="N43" s="546"/>
      <c r="O43" s="546"/>
      <c r="P43" s="48"/>
      <c r="Q43" s="48"/>
      <c r="R43" s="48"/>
      <c r="S43" s="49"/>
      <c r="T43" s="46"/>
      <c r="U43" s="44"/>
      <c r="V43" s="44"/>
      <c r="W43" s="44"/>
      <c r="X43" s="44"/>
    </row>
    <row r="44" spans="2:28">
      <c r="B44" s="8"/>
      <c r="C44" s="311"/>
      <c r="D44" s="311"/>
      <c r="E44" s="43"/>
      <c r="F44" s="37"/>
      <c r="G44" s="37"/>
      <c r="H44" s="37"/>
      <c r="I44" s="37"/>
      <c r="J44" s="37"/>
      <c r="K44" s="37"/>
      <c r="L44" s="37"/>
      <c r="M44" s="44"/>
      <c r="N44" s="46"/>
      <c r="O44" s="46"/>
      <c r="P44" s="46"/>
      <c r="Q44" s="46"/>
      <c r="R44" s="46"/>
      <c r="S44" s="46"/>
      <c r="T44" s="46"/>
      <c r="U44" s="44"/>
      <c r="V44" s="44"/>
      <c r="W44" s="44"/>
      <c r="X44" s="44"/>
    </row>
    <row r="45" spans="2:28">
      <c r="B45" s="8"/>
      <c r="C45" s="311"/>
      <c r="D45" s="311"/>
      <c r="E45" s="43"/>
      <c r="F45" s="37"/>
      <c r="G45" s="37"/>
      <c r="H45" s="37"/>
      <c r="I45" s="37"/>
      <c r="J45" s="37"/>
      <c r="K45" s="37"/>
      <c r="L45" s="37"/>
      <c r="M45" s="44"/>
      <c r="N45" s="45"/>
      <c r="O45" s="51"/>
      <c r="P45" s="46"/>
      <c r="Q45" s="46"/>
      <c r="R45" s="46"/>
      <c r="S45" s="46"/>
      <c r="T45" s="45"/>
      <c r="U45" s="44"/>
      <c r="V45" s="44"/>
      <c r="W45" s="44"/>
      <c r="X45" s="44"/>
    </row>
    <row r="46" spans="2:28">
      <c r="B46" s="8"/>
      <c r="C46" s="311"/>
      <c r="D46" s="311"/>
      <c r="E46" s="43"/>
      <c r="F46" s="37"/>
      <c r="G46" s="37"/>
      <c r="H46" s="37"/>
      <c r="I46" s="37"/>
      <c r="J46" s="37"/>
      <c r="K46" s="37"/>
      <c r="L46" s="37"/>
      <c r="M46" s="44"/>
      <c r="N46" s="47"/>
      <c r="O46" s="47"/>
      <c r="P46" s="47"/>
      <c r="Q46" s="180"/>
      <c r="R46" s="180"/>
      <c r="S46" s="46"/>
      <c r="T46" s="47"/>
      <c r="U46" s="47"/>
      <c r="V46" s="180"/>
      <c r="W46" s="180"/>
      <c r="X46" s="47"/>
    </row>
    <row r="47" spans="2:28">
      <c r="B47" s="8"/>
      <c r="C47" s="311"/>
      <c r="D47" s="311"/>
      <c r="E47" s="43"/>
      <c r="F47" s="37"/>
      <c r="G47" s="37"/>
      <c r="H47" s="37"/>
      <c r="I47" s="37"/>
      <c r="J47" s="37"/>
      <c r="K47" s="37"/>
      <c r="L47" s="37"/>
      <c r="M47" s="44"/>
      <c r="N47" s="47"/>
      <c r="O47" s="52"/>
      <c r="P47" s="53"/>
      <c r="Q47" s="53"/>
      <c r="R47" s="53"/>
      <c r="S47" s="46"/>
      <c r="T47" s="47"/>
      <c r="U47" s="47"/>
      <c r="V47" s="180"/>
      <c r="W47" s="180"/>
      <c r="X47" s="53"/>
    </row>
    <row r="48" spans="2:28">
      <c r="B48" s="8"/>
      <c r="C48" s="311"/>
      <c r="D48" s="311"/>
      <c r="E48" s="43"/>
      <c r="F48" s="37"/>
      <c r="G48" s="37"/>
      <c r="H48" s="37"/>
      <c r="I48" s="37"/>
      <c r="J48" s="37"/>
      <c r="K48" s="37"/>
      <c r="L48" s="37"/>
      <c r="M48" s="44"/>
      <c r="N48" s="52"/>
      <c r="O48" s="52"/>
      <c r="P48" s="53"/>
      <c r="Q48" s="53"/>
      <c r="R48" s="53"/>
      <c r="S48" s="46"/>
      <c r="T48" s="47"/>
      <c r="U48" s="47"/>
      <c r="V48" s="180"/>
      <c r="W48" s="180"/>
      <c r="X48" s="53"/>
    </row>
    <row r="49" spans="2:28">
      <c r="B49" s="8"/>
      <c r="C49" s="311"/>
      <c r="D49" s="311"/>
      <c r="E49" s="50"/>
      <c r="F49" s="38"/>
      <c r="G49" s="38"/>
      <c r="H49" s="38"/>
      <c r="I49" s="38"/>
      <c r="J49" s="38"/>
      <c r="K49" s="38"/>
      <c r="L49" s="38"/>
      <c r="M49" s="44"/>
      <c r="N49" s="52"/>
      <c r="O49" s="52"/>
      <c r="P49" s="53"/>
      <c r="Q49" s="53"/>
      <c r="R49" s="53"/>
      <c r="S49" s="46"/>
      <c r="T49" s="47"/>
      <c r="U49" s="47"/>
      <c r="V49" s="180"/>
      <c r="W49" s="180"/>
      <c r="X49" s="53"/>
    </row>
    <row r="50" spans="2:28" ht="12.75" customHeight="1">
      <c r="B50" s="8"/>
      <c r="C50" s="311"/>
      <c r="D50" s="311"/>
      <c r="E50" s="54"/>
      <c r="F50" s="39"/>
      <c r="G50" s="39"/>
      <c r="H50" s="39"/>
      <c r="I50" s="39"/>
      <c r="J50" s="39"/>
      <c r="K50" s="39"/>
      <c r="L50" s="39"/>
      <c r="M50" s="44"/>
      <c r="N50" s="47"/>
      <c r="O50" s="47"/>
      <c r="P50" s="55"/>
      <c r="Q50" s="55"/>
      <c r="R50" s="55"/>
      <c r="S50" s="46"/>
      <c r="T50" s="47"/>
      <c r="U50" s="47"/>
      <c r="V50" s="180"/>
      <c r="W50" s="180"/>
      <c r="X50" s="55"/>
    </row>
    <row r="51" spans="2:28" ht="12.75" customHeight="1">
      <c r="B51" s="8"/>
      <c r="C51" s="311"/>
      <c r="D51" s="311"/>
      <c r="E51" s="43"/>
      <c r="F51" s="37"/>
      <c r="G51" s="37"/>
      <c r="H51" s="37"/>
      <c r="I51" s="37"/>
      <c r="J51" s="37"/>
      <c r="K51" s="37"/>
      <c r="L51" s="37"/>
      <c r="M51" s="44"/>
      <c r="N51" s="47"/>
      <c r="O51" s="47"/>
      <c r="P51" s="48"/>
      <c r="Q51" s="48"/>
      <c r="R51" s="48"/>
      <c r="S51" s="46"/>
      <c r="T51" s="46"/>
      <c r="U51" s="44"/>
      <c r="V51" s="44"/>
      <c r="W51" s="44"/>
      <c r="X51" s="44"/>
    </row>
    <row r="52" spans="2:28" ht="6" customHeight="1">
      <c r="B52" s="539"/>
      <c r="C52" s="539"/>
      <c r="D52" s="539"/>
      <c r="E52" s="539"/>
      <c r="F52" s="539"/>
      <c r="G52" s="539"/>
      <c r="H52" s="8"/>
      <c r="I52" s="8"/>
      <c r="J52" s="8"/>
      <c r="K52" s="8"/>
      <c r="L52" s="8"/>
      <c r="M52" s="44"/>
      <c r="N52" s="47"/>
      <c r="O52" s="47"/>
      <c r="P52" s="48"/>
      <c r="Q52" s="48"/>
      <c r="R52" s="48"/>
      <c r="S52" s="46"/>
      <c r="T52" s="46"/>
      <c r="U52" s="44"/>
      <c r="V52" s="44"/>
      <c r="W52" s="44"/>
      <c r="X52" s="44"/>
    </row>
    <row r="53" spans="2:28" s="10" customFormat="1" ht="15" customHeight="1">
      <c r="B53" s="8"/>
      <c r="C53" s="311"/>
      <c r="D53" s="311"/>
      <c r="E53" s="43"/>
      <c r="F53" s="37"/>
      <c r="G53" s="37"/>
      <c r="H53" s="37"/>
      <c r="I53" s="37"/>
      <c r="J53" s="37"/>
      <c r="K53" s="37"/>
      <c r="L53" s="37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AA53" s="214"/>
      <c r="AB53" s="206"/>
    </row>
    <row r="54" spans="2:28" s="10" customFormat="1" ht="15" customHeight="1">
      <c r="B54" s="8"/>
      <c r="C54" s="311"/>
      <c r="D54" s="311"/>
      <c r="E54" s="43"/>
      <c r="F54" s="37"/>
      <c r="G54" s="37"/>
      <c r="H54" s="37"/>
      <c r="I54" s="37"/>
      <c r="J54" s="37"/>
      <c r="K54" s="37"/>
      <c r="L54" s="37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AA54" s="214"/>
      <c r="AB54" s="206"/>
    </row>
    <row r="55" spans="2:28" s="10" customFormat="1" ht="15" customHeight="1">
      <c r="B55" s="8"/>
      <c r="C55" s="311"/>
      <c r="D55" s="311"/>
      <c r="E55" s="43"/>
      <c r="F55" s="37"/>
      <c r="G55" s="37"/>
      <c r="H55" s="37"/>
      <c r="I55" s="37"/>
      <c r="J55" s="37"/>
      <c r="K55" s="37"/>
      <c r="L55" s="37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AA55" s="214"/>
      <c r="AB55" s="206"/>
    </row>
    <row r="56" spans="2:28" s="10" customFormat="1" ht="15" customHeight="1">
      <c r="B56" s="8"/>
      <c r="C56" s="311"/>
      <c r="D56" s="311"/>
      <c r="E56" s="43"/>
      <c r="F56" s="37"/>
      <c r="G56" s="37"/>
      <c r="H56" s="37"/>
      <c r="I56" s="37"/>
      <c r="J56" s="37"/>
      <c r="K56" s="37"/>
      <c r="L56" s="37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AA56" s="214"/>
      <c r="AB56" s="206"/>
    </row>
    <row r="57" spans="2:28" s="10" customFormat="1" ht="15" customHeight="1">
      <c r="B57" s="8"/>
      <c r="C57" s="311"/>
      <c r="D57" s="311"/>
      <c r="E57" s="50"/>
      <c r="F57" s="38"/>
      <c r="G57" s="38"/>
      <c r="H57" s="38"/>
      <c r="I57" s="38"/>
      <c r="J57" s="38"/>
      <c r="K57" s="38"/>
      <c r="L57" s="38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AA57" s="214"/>
      <c r="AB57" s="206"/>
    </row>
    <row r="58" spans="2:28" s="10" customFormat="1" ht="15" customHeight="1">
      <c r="B58" s="8"/>
      <c r="C58" s="311"/>
      <c r="D58" s="311"/>
      <c r="E58" s="43"/>
      <c r="F58" s="37"/>
      <c r="G58" s="56"/>
      <c r="H58" s="37"/>
      <c r="I58" s="37"/>
      <c r="J58" s="37"/>
      <c r="K58" s="37"/>
      <c r="L58" s="37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AA58" s="214"/>
      <c r="AB58" s="206"/>
    </row>
    <row r="59" spans="2:28" s="10" customFormat="1" ht="15" customHeight="1">
      <c r="B59" s="8"/>
      <c r="C59" s="311"/>
      <c r="D59" s="311"/>
      <c r="E59" s="43"/>
      <c r="F59" s="37"/>
      <c r="G59" s="56"/>
      <c r="H59" s="37"/>
      <c r="I59" s="37"/>
      <c r="J59" s="37"/>
      <c r="K59" s="37"/>
      <c r="L59" s="37"/>
      <c r="M59" s="46"/>
      <c r="N59" s="57"/>
      <c r="O59" s="57"/>
      <c r="P59" s="46"/>
      <c r="Q59" s="46"/>
      <c r="R59" s="46"/>
      <c r="S59" s="46"/>
      <c r="T59" s="46"/>
      <c r="U59" s="46"/>
      <c r="V59" s="46"/>
      <c r="W59" s="46"/>
      <c r="X59" s="46"/>
      <c r="AA59" s="214"/>
      <c r="AB59" s="206"/>
    </row>
    <row r="60" spans="2:28" s="10" customFormat="1" ht="15" customHeight="1">
      <c r="B60" s="8"/>
      <c r="C60" s="311"/>
      <c r="D60" s="311"/>
      <c r="E60" s="43"/>
      <c r="F60" s="37"/>
      <c r="G60" s="56"/>
      <c r="H60" s="37"/>
      <c r="I60" s="37"/>
      <c r="J60" s="37"/>
      <c r="K60" s="37"/>
      <c r="L60" s="37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AA60" s="214"/>
      <c r="AB60" s="206"/>
    </row>
    <row r="61" spans="2:28" s="10" customFormat="1" ht="15" customHeight="1">
      <c r="B61" s="8"/>
      <c r="C61" s="311"/>
      <c r="D61" s="311"/>
      <c r="E61" s="43"/>
      <c r="F61" s="37"/>
      <c r="G61" s="56"/>
      <c r="H61" s="37"/>
      <c r="I61" s="37"/>
      <c r="J61" s="37"/>
      <c r="K61" s="37"/>
      <c r="L61" s="37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AA61" s="214"/>
      <c r="AB61" s="206"/>
    </row>
    <row r="62" spans="2:28" s="10" customFormat="1" ht="15" customHeight="1">
      <c r="B62" s="8"/>
      <c r="C62" s="311"/>
      <c r="D62" s="311"/>
      <c r="E62" s="43"/>
      <c r="F62" s="37"/>
      <c r="G62" s="56"/>
      <c r="H62" s="37"/>
      <c r="I62" s="37"/>
      <c r="J62" s="37"/>
      <c r="K62" s="37"/>
      <c r="L62" s="37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AA62" s="214"/>
      <c r="AB62" s="206"/>
    </row>
    <row r="63" spans="2:28" s="10" customFormat="1" ht="15" customHeight="1">
      <c r="B63" s="8"/>
      <c r="C63" s="311"/>
      <c r="D63" s="311"/>
      <c r="E63" s="43"/>
      <c r="F63" s="37"/>
      <c r="G63" s="56"/>
      <c r="H63" s="37"/>
      <c r="I63" s="37"/>
      <c r="J63" s="37"/>
      <c r="K63" s="37"/>
      <c r="L63" s="37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AA63" s="214"/>
      <c r="AB63" s="206"/>
    </row>
    <row r="64" spans="2:28" s="10" customFormat="1" ht="15" customHeight="1">
      <c r="B64" s="8"/>
      <c r="C64" s="311"/>
      <c r="D64" s="311"/>
      <c r="E64" s="43"/>
      <c r="F64" s="37"/>
      <c r="G64" s="56"/>
      <c r="H64" s="37"/>
      <c r="I64" s="37"/>
      <c r="J64" s="37"/>
      <c r="K64" s="37"/>
      <c r="L64" s="37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AA64" s="214"/>
      <c r="AB64" s="206"/>
    </row>
    <row r="65" spans="2:28" s="10" customFormat="1" ht="15" customHeight="1">
      <c r="B65" s="8"/>
      <c r="C65" s="311"/>
      <c r="D65" s="311"/>
      <c r="E65" s="43"/>
      <c r="F65" s="37"/>
      <c r="G65" s="56"/>
      <c r="H65" s="37"/>
      <c r="I65" s="37"/>
      <c r="J65" s="37"/>
      <c r="K65" s="37"/>
      <c r="L65" s="37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AA65" s="214"/>
      <c r="AB65" s="206"/>
    </row>
    <row r="66" spans="2:28" s="10" customFormat="1" ht="12.75" customHeight="1">
      <c r="B66" s="8"/>
      <c r="C66" s="311"/>
      <c r="D66" s="311"/>
      <c r="E66" s="50"/>
      <c r="F66" s="38"/>
      <c r="G66" s="58"/>
      <c r="H66" s="38"/>
      <c r="I66" s="38"/>
      <c r="J66" s="38"/>
      <c r="K66" s="38"/>
      <c r="L66" s="38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AA66" s="214"/>
      <c r="AB66" s="206"/>
    </row>
    <row r="67" spans="2:28" s="10" customFormat="1">
      <c r="B67" s="8"/>
      <c r="C67" s="311"/>
      <c r="D67" s="311"/>
      <c r="E67" s="54"/>
      <c r="F67" s="39"/>
      <c r="G67" s="39"/>
      <c r="H67" s="39"/>
      <c r="I67" s="39"/>
      <c r="J67" s="39"/>
      <c r="K67" s="39"/>
      <c r="L67" s="39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AA67" s="214"/>
      <c r="AB67" s="206"/>
    </row>
    <row r="68" spans="2:28" s="10" customFormat="1">
      <c r="B68" s="8"/>
      <c r="C68" s="311"/>
      <c r="D68" s="311"/>
      <c r="E68" s="43"/>
      <c r="F68" s="37"/>
      <c r="G68" s="37"/>
      <c r="H68" s="37"/>
      <c r="I68" s="37"/>
      <c r="J68" s="37"/>
      <c r="K68" s="37"/>
      <c r="L68" s="37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AA68" s="214"/>
      <c r="AB68" s="206"/>
    </row>
    <row r="69" spans="2:28" ht="6" customHeight="1">
      <c r="B69" s="539"/>
      <c r="C69" s="539"/>
      <c r="D69" s="539"/>
      <c r="E69" s="539"/>
      <c r="F69" s="539"/>
      <c r="G69" s="539"/>
      <c r="H69" s="8"/>
      <c r="I69" s="8"/>
      <c r="J69" s="8"/>
      <c r="K69" s="8"/>
      <c r="L69" s="8"/>
      <c r="M69" s="44"/>
      <c r="N69" s="47"/>
      <c r="O69" s="47"/>
      <c r="P69" s="48"/>
      <c r="Q69" s="48"/>
      <c r="R69" s="48"/>
      <c r="S69" s="46"/>
      <c r="T69" s="46"/>
      <c r="U69" s="44"/>
      <c r="V69" s="44"/>
      <c r="W69" s="44"/>
      <c r="X69" s="44"/>
    </row>
    <row r="70" spans="2:28" s="10" customFormat="1">
      <c r="B70" s="8"/>
      <c r="C70" s="311"/>
      <c r="D70" s="311"/>
      <c r="E70" s="43"/>
      <c r="F70" s="37"/>
      <c r="G70" s="37"/>
      <c r="H70" s="37"/>
      <c r="I70" s="37"/>
      <c r="J70" s="37"/>
      <c r="K70" s="37"/>
      <c r="L70" s="37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AA70" s="214"/>
      <c r="AB70" s="206"/>
    </row>
    <row r="71" spans="2:28" s="10" customFormat="1">
      <c r="B71" s="8"/>
      <c r="C71" s="311"/>
      <c r="D71" s="311"/>
      <c r="E71" s="43"/>
      <c r="F71" s="37"/>
      <c r="G71" s="37"/>
      <c r="H71" s="37"/>
      <c r="I71" s="37"/>
      <c r="J71" s="37"/>
      <c r="K71" s="37"/>
      <c r="L71" s="37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AA71" s="214"/>
      <c r="AB71" s="206"/>
    </row>
    <row r="72" spans="2:28" s="10" customFormat="1">
      <c r="B72" s="8"/>
      <c r="C72" s="311"/>
      <c r="D72" s="311"/>
      <c r="E72" s="43"/>
      <c r="F72" s="37"/>
      <c r="G72" s="37"/>
      <c r="H72" s="37"/>
      <c r="I72" s="37"/>
      <c r="J72" s="37"/>
      <c r="K72" s="37"/>
      <c r="L72" s="37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AA72" s="214"/>
      <c r="AB72" s="206"/>
    </row>
    <row r="73" spans="2:28" s="10" customFormat="1">
      <c r="B73" s="8"/>
      <c r="C73" s="311"/>
      <c r="D73" s="311"/>
      <c r="E73" s="43"/>
      <c r="F73" s="37"/>
      <c r="G73" s="37"/>
      <c r="H73" s="37"/>
      <c r="I73" s="37"/>
      <c r="J73" s="37"/>
      <c r="K73" s="37"/>
      <c r="L73" s="37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AA73" s="214"/>
      <c r="AB73" s="206"/>
    </row>
    <row r="74" spans="2:28" s="10" customFormat="1">
      <c r="B74" s="8"/>
      <c r="C74" s="311"/>
      <c r="D74" s="311"/>
      <c r="E74" s="50"/>
      <c r="F74" s="38"/>
      <c r="G74" s="38"/>
      <c r="H74" s="38"/>
      <c r="I74" s="40"/>
      <c r="J74" s="38"/>
      <c r="K74" s="38"/>
      <c r="L74" s="38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AA74" s="214"/>
      <c r="AB74" s="206"/>
    </row>
    <row r="75" spans="2:28" s="10" customFormat="1">
      <c r="B75" s="8"/>
      <c r="C75" s="311"/>
      <c r="D75" s="311"/>
      <c r="E75" s="43"/>
      <c r="F75" s="37"/>
      <c r="G75" s="37"/>
      <c r="H75" s="37"/>
      <c r="I75" s="37"/>
      <c r="J75" s="37"/>
      <c r="K75" s="37"/>
      <c r="L75" s="37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AA75" s="214"/>
      <c r="AB75" s="206"/>
    </row>
    <row r="76" spans="2:28" s="10" customFormat="1">
      <c r="B76" s="8"/>
      <c r="C76" s="311"/>
      <c r="D76" s="311"/>
      <c r="E76" s="43"/>
      <c r="F76" s="37"/>
      <c r="G76" s="37"/>
      <c r="H76" s="37"/>
      <c r="I76" s="37"/>
      <c r="J76" s="37"/>
      <c r="K76" s="37"/>
      <c r="L76" s="37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AA76" s="214"/>
      <c r="AB76" s="206"/>
    </row>
    <row r="77" spans="2:28" s="10" customFormat="1">
      <c r="B77" s="8"/>
      <c r="C77" s="311"/>
      <c r="D77" s="311"/>
      <c r="E77" s="43"/>
      <c r="F77" s="37"/>
      <c r="G77" s="37"/>
      <c r="H77" s="37"/>
      <c r="I77" s="37"/>
      <c r="J77" s="37"/>
      <c r="K77" s="37"/>
      <c r="L77" s="37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AA77" s="214"/>
      <c r="AB77" s="206"/>
    </row>
    <row r="78" spans="2:28" s="10" customFormat="1">
      <c r="B78" s="8"/>
      <c r="C78" s="311"/>
      <c r="D78" s="311"/>
      <c r="E78" s="43"/>
      <c r="F78" s="37"/>
      <c r="G78" s="37"/>
      <c r="H78" s="37"/>
      <c r="I78" s="37"/>
      <c r="J78" s="37"/>
      <c r="K78" s="37"/>
      <c r="L78" s="37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AA78" s="214"/>
      <c r="AB78" s="206"/>
    </row>
    <row r="79" spans="2:28" s="10" customFormat="1">
      <c r="B79" s="8"/>
      <c r="C79" s="311"/>
      <c r="D79" s="311"/>
      <c r="E79" s="43"/>
      <c r="F79" s="37"/>
      <c r="G79" s="37"/>
      <c r="H79" s="37"/>
      <c r="I79" s="37"/>
      <c r="J79" s="37"/>
      <c r="K79" s="37"/>
      <c r="L79" s="37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AA79" s="214"/>
      <c r="AB79" s="206"/>
    </row>
    <row r="80" spans="2:28" s="10" customFormat="1">
      <c r="B80" s="8"/>
      <c r="C80" s="311"/>
      <c r="D80" s="311"/>
      <c r="E80" s="43"/>
      <c r="F80" s="37"/>
      <c r="G80" s="37"/>
      <c r="H80" s="37"/>
      <c r="I80" s="37"/>
      <c r="J80" s="37"/>
      <c r="K80" s="37"/>
      <c r="L80" s="37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AA80" s="214"/>
      <c r="AB80" s="206"/>
    </row>
    <row r="81" spans="2:28" s="10" customFormat="1">
      <c r="B81" s="8"/>
      <c r="C81" s="311"/>
      <c r="D81" s="311"/>
      <c r="E81" s="43"/>
      <c r="F81" s="37"/>
      <c r="G81" s="37"/>
      <c r="H81" s="37"/>
      <c r="I81" s="37"/>
      <c r="J81" s="37"/>
      <c r="K81" s="37"/>
      <c r="L81" s="37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AA81" s="214"/>
      <c r="AB81" s="206"/>
    </row>
    <row r="82" spans="2:28" s="10" customFormat="1" ht="12.75" customHeight="1">
      <c r="B82" s="8"/>
      <c r="C82" s="311"/>
      <c r="D82" s="311"/>
      <c r="E82" s="43"/>
      <c r="F82" s="37"/>
      <c r="G82" s="37"/>
      <c r="H82" s="37"/>
      <c r="I82" s="37"/>
      <c r="J82" s="37"/>
      <c r="K82" s="37"/>
      <c r="L82" s="37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AA82" s="214"/>
      <c r="AB82" s="206"/>
    </row>
    <row r="83" spans="2:28" s="10" customFormat="1">
      <c r="B83" s="8"/>
      <c r="C83" s="311"/>
      <c r="D83" s="311"/>
      <c r="E83" s="50"/>
      <c r="F83" s="59"/>
      <c r="G83" s="38"/>
      <c r="H83" s="60"/>
      <c r="I83" s="38"/>
      <c r="J83" s="38"/>
      <c r="K83" s="38"/>
      <c r="L83" s="38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AA83" s="214"/>
      <c r="AB83" s="206"/>
    </row>
    <row r="84" spans="2:28" s="10" customFormat="1">
      <c r="B84" s="8"/>
      <c r="C84" s="311"/>
      <c r="D84" s="311"/>
      <c r="E84" s="54"/>
      <c r="F84" s="61"/>
      <c r="G84" s="39"/>
      <c r="H84" s="39"/>
      <c r="I84" s="39"/>
      <c r="J84" s="39"/>
      <c r="K84" s="39"/>
      <c r="L84" s="39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AA84" s="214"/>
      <c r="AB84" s="206"/>
    </row>
    <row r="85" spans="2:28" s="10" customFormat="1">
      <c r="B85" s="8"/>
      <c r="C85" s="311"/>
      <c r="D85" s="311"/>
      <c r="E85" s="43"/>
      <c r="F85" s="39"/>
      <c r="G85" s="37"/>
      <c r="H85" s="39"/>
      <c r="I85" s="39"/>
      <c r="J85" s="39"/>
      <c r="K85" s="39"/>
      <c r="L85" s="39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AA85" s="214"/>
      <c r="AB85" s="206"/>
    </row>
    <row r="86" spans="2:28" s="10" customFormat="1">
      <c r="B86" s="8"/>
      <c r="C86" s="311"/>
      <c r="D86" s="311"/>
      <c r="E86" s="43"/>
      <c r="F86" s="39"/>
      <c r="G86" s="37"/>
      <c r="H86" s="39"/>
      <c r="I86" s="39"/>
      <c r="J86" s="39"/>
      <c r="K86" s="39"/>
      <c r="L86" s="39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AA86" s="214"/>
      <c r="AB86" s="206"/>
    </row>
    <row r="87" spans="2:28" s="10" customFormat="1">
      <c r="B87" s="8"/>
      <c r="C87" s="311"/>
      <c r="D87" s="311"/>
      <c r="E87" s="43"/>
      <c r="F87" s="39"/>
      <c r="G87" s="37"/>
      <c r="H87" s="39"/>
      <c r="I87" s="39"/>
      <c r="J87" s="39"/>
      <c r="K87" s="39"/>
      <c r="L87" s="39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AA87" s="214"/>
      <c r="AB87" s="206"/>
    </row>
    <row r="88" spans="2:28" s="10" customFormat="1">
      <c r="B88" s="8"/>
      <c r="C88" s="311"/>
      <c r="D88" s="311"/>
      <c r="E88" s="43"/>
      <c r="F88" s="37"/>
      <c r="G88" s="37"/>
      <c r="H88" s="37"/>
      <c r="I88" s="37"/>
      <c r="J88" s="37"/>
      <c r="K88" s="37"/>
      <c r="L88" s="37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AA88" s="214"/>
      <c r="AB88" s="206"/>
    </row>
    <row r="89" spans="2:28" ht="6" customHeight="1">
      <c r="B89" s="539"/>
      <c r="C89" s="539"/>
      <c r="D89" s="539"/>
      <c r="E89" s="539"/>
      <c r="F89" s="539"/>
      <c r="G89" s="539"/>
      <c r="H89" s="8"/>
      <c r="I89" s="8"/>
      <c r="J89" s="8"/>
      <c r="K89" s="8"/>
      <c r="L89" s="8"/>
      <c r="M89" s="44"/>
      <c r="N89" s="47"/>
      <c r="O89" s="47"/>
      <c r="P89" s="48"/>
      <c r="Q89" s="48"/>
      <c r="R89" s="48"/>
      <c r="S89" s="46"/>
      <c r="T89" s="46"/>
      <c r="U89" s="44"/>
      <c r="V89" s="44"/>
      <c r="W89" s="44"/>
      <c r="X89" s="44"/>
    </row>
    <row r="90" spans="2:28" s="10" customFormat="1">
      <c r="B90" s="8"/>
      <c r="C90" s="311"/>
      <c r="D90" s="311"/>
      <c r="E90" s="43"/>
      <c r="F90" s="37"/>
      <c r="G90" s="37"/>
      <c r="H90" s="37"/>
      <c r="I90" s="37"/>
      <c r="J90" s="37"/>
      <c r="K90" s="37"/>
      <c r="L90" s="37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AA90" s="214"/>
      <c r="AB90" s="206"/>
    </row>
    <row r="91" spans="2:28" s="10" customFormat="1">
      <c r="B91" s="8"/>
      <c r="C91" s="311"/>
      <c r="D91" s="311"/>
      <c r="E91" s="43"/>
      <c r="F91" s="37"/>
      <c r="G91" s="37"/>
      <c r="H91" s="37"/>
      <c r="I91" s="37"/>
      <c r="J91" s="37"/>
      <c r="K91" s="37"/>
      <c r="L91" s="37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AA91" s="214"/>
      <c r="AB91" s="206"/>
    </row>
    <row r="92" spans="2:28" s="10" customFormat="1">
      <c r="B92" s="8"/>
      <c r="C92" s="311"/>
      <c r="D92" s="311"/>
      <c r="E92" s="43"/>
      <c r="F92" s="37"/>
      <c r="G92" s="37"/>
      <c r="H92" s="37"/>
      <c r="I92" s="37"/>
      <c r="J92" s="37"/>
      <c r="K92" s="37"/>
      <c r="L92" s="37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AA92" s="214"/>
      <c r="AB92" s="206"/>
    </row>
    <row r="93" spans="2:28" s="10" customFormat="1">
      <c r="B93" s="8"/>
      <c r="C93" s="311"/>
      <c r="D93" s="311"/>
      <c r="E93" s="43"/>
      <c r="F93" s="37"/>
      <c r="G93" s="37"/>
      <c r="H93" s="37"/>
      <c r="I93" s="37"/>
      <c r="J93" s="37"/>
      <c r="K93" s="37"/>
      <c r="L93" s="37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AA93" s="214"/>
      <c r="AB93" s="206"/>
    </row>
    <row r="94" spans="2:28" s="10" customFormat="1">
      <c r="B94" s="8"/>
      <c r="C94" s="311"/>
      <c r="D94" s="311"/>
      <c r="E94" s="50"/>
      <c r="F94" s="38"/>
      <c r="G94" s="38"/>
      <c r="H94" s="38"/>
      <c r="I94" s="40"/>
      <c r="J94" s="38"/>
      <c r="K94" s="38"/>
      <c r="L94" s="38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AA94" s="214"/>
      <c r="AB94" s="206"/>
    </row>
    <row r="95" spans="2:28" s="10" customFormat="1">
      <c r="B95" s="8"/>
      <c r="C95" s="311"/>
      <c r="D95" s="311"/>
      <c r="E95" s="43"/>
      <c r="F95" s="37"/>
      <c r="G95" s="37"/>
      <c r="H95" s="37"/>
      <c r="I95" s="37"/>
      <c r="J95" s="37"/>
      <c r="K95" s="37"/>
      <c r="L95" s="37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AA95" s="214"/>
      <c r="AB95" s="206"/>
    </row>
    <row r="96" spans="2:28" s="10" customFormat="1">
      <c r="B96" s="8"/>
      <c r="C96" s="311"/>
      <c r="D96" s="311"/>
      <c r="E96" s="43"/>
      <c r="F96" s="37"/>
      <c r="G96" s="37"/>
      <c r="H96" s="37"/>
      <c r="I96" s="37"/>
      <c r="J96" s="37"/>
      <c r="K96" s="37"/>
      <c r="L96" s="37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AA96" s="214"/>
      <c r="AB96" s="206"/>
    </row>
    <row r="97" spans="2:28" s="10" customFormat="1">
      <c r="B97" s="8"/>
      <c r="C97" s="311"/>
      <c r="D97" s="311"/>
      <c r="E97" s="43"/>
      <c r="F97" s="37"/>
      <c r="G97" s="37"/>
      <c r="H97" s="37"/>
      <c r="I97" s="37"/>
      <c r="J97" s="37"/>
      <c r="K97" s="37"/>
      <c r="L97" s="37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AA97" s="214"/>
      <c r="AB97" s="206"/>
    </row>
    <row r="98" spans="2:28" s="10" customFormat="1">
      <c r="B98" s="8"/>
      <c r="C98" s="311"/>
      <c r="D98" s="311"/>
      <c r="E98" s="43"/>
      <c r="F98" s="37"/>
      <c r="G98" s="37"/>
      <c r="H98" s="37"/>
      <c r="I98" s="37"/>
      <c r="J98" s="37"/>
      <c r="K98" s="37"/>
      <c r="L98" s="37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AA98" s="214"/>
      <c r="AB98" s="206"/>
    </row>
    <row r="99" spans="2:28" s="10" customFormat="1">
      <c r="B99" s="8"/>
      <c r="C99" s="311"/>
      <c r="D99" s="311"/>
      <c r="E99" s="43"/>
      <c r="F99" s="37"/>
      <c r="G99" s="37"/>
      <c r="H99" s="37"/>
      <c r="I99" s="37"/>
      <c r="J99" s="37"/>
      <c r="K99" s="37"/>
      <c r="L99" s="37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AA99" s="214"/>
      <c r="AB99" s="206"/>
    </row>
    <row r="100" spans="2:28" s="10" customFormat="1">
      <c r="B100" s="8"/>
      <c r="C100" s="311"/>
      <c r="D100" s="311"/>
      <c r="E100" s="43"/>
      <c r="F100" s="37"/>
      <c r="G100" s="37"/>
      <c r="H100" s="37"/>
      <c r="I100" s="37"/>
      <c r="J100" s="37"/>
      <c r="K100" s="37"/>
      <c r="L100" s="37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AA100" s="214"/>
      <c r="AB100" s="206"/>
    </row>
    <row r="101" spans="2:28" s="10" customFormat="1">
      <c r="B101" s="8"/>
      <c r="C101" s="311"/>
      <c r="D101" s="311"/>
      <c r="E101" s="43"/>
      <c r="F101" s="37"/>
      <c r="G101" s="37"/>
      <c r="H101" s="37"/>
      <c r="I101" s="37"/>
      <c r="J101" s="37"/>
      <c r="K101" s="37"/>
      <c r="L101" s="37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AA101" s="214"/>
      <c r="AB101" s="206"/>
    </row>
    <row r="102" spans="2:28" s="10" customFormat="1" ht="12.75" customHeight="1">
      <c r="B102" s="8"/>
      <c r="C102" s="311"/>
      <c r="D102" s="311"/>
      <c r="E102" s="43"/>
      <c r="F102" s="37"/>
      <c r="G102" s="37"/>
      <c r="H102" s="37"/>
      <c r="I102" s="37"/>
      <c r="J102" s="37"/>
      <c r="K102" s="37"/>
      <c r="L102" s="37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AA102" s="214"/>
      <c r="AB102" s="206"/>
    </row>
    <row r="103" spans="2:28" s="10" customFormat="1">
      <c r="B103" s="8"/>
      <c r="C103" s="311"/>
      <c r="D103" s="311"/>
      <c r="E103" s="50"/>
      <c r="F103" s="59"/>
      <c r="G103" s="38"/>
      <c r="H103" s="46"/>
      <c r="I103" s="38"/>
      <c r="J103" s="38"/>
      <c r="K103" s="38"/>
      <c r="L103" s="38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AA103" s="214"/>
      <c r="AB103" s="206"/>
    </row>
    <row r="104" spans="2:28" s="10" customFormat="1">
      <c r="B104" s="8"/>
      <c r="C104" s="311"/>
      <c r="D104" s="311"/>
      <c r="E104" s="54"/>
      <c r="F104" s="61"/>
      <c r="G104" s="39"/>
      <c r="H104" s="39"/>
      <c r="I104" s="39"/>
      <c r="J104" s="39"/>
      <c r="K104" s="39"/>
      <c r="L104" s="39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AA104" s="214"/>
      <c r="AB104" s="206"/>
    </row>
    <row r="105" spans="2:28" s="10" customFormat="1">
      <c r="B105" s="8"/>
      <c r="C105" s="311"/>
      <c r="D105" s="311"/>
      <c r="E105" s="43"/>
      <c r="F105" s="39"/>
      <c r="G105" s="37"/>
      <c r="H105" s="39"/>
      <c r="I105" s="39"/>
      <c r="J105" s="39"/>
      <c r="K105" s="39"/>
      <c r="L105" s="39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AA105" s="214"/>
      <c r="AB105" s="206"/>
    </row>
    <row r="106" spans="2:28" s="10" customFormat="1">
      <c r="B106" s="8"/>
      <c r="C106" s="311"/>
      <c r="D106" s="311"/>
      <c r="E106" s="43"/>
      <c r="F106" s="39"/>
      <c r="G106" s="37"/>
      <c r="H106" s="39"/>
      <c r="I106" s="39"/>
      <c r="J106" s="39"/>
      <c r="K106" s="39"/>
      <c r="L106" s="39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AA106" s="214"/>
      <c r="AB106" s="206"/>
    </row>
    <row r="107" spans="2:28" s="10" customFormat="1">
      <c r="B107" s="8"/>
      <c r="C107" s="311"/>
      <c r="D107" s="311"/>
      <c r="E107" s="43"/>
      <c r="F107" s="39"/>
      <c r="G107" s="37"/>
      <c r="H107" s="39"/>
      <c r="I107" s="39"/>
      <c r="J107" s="39"/>
      <c r="K107" s="39"/>
      <c r="L107" s="39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AA107" s="214"/>
      <c r="AB107" s="206"/>
    </row>
    <row r="108" spans="2:28" s="10" customFormat="1">
      <c r="B108" s="8"/>
      <c r="C108" s="311"/>
      <c r="D108" s="311"/>
      <c r="E108" s="43"/>
      <c r="F108" s="37"/>
      <c r="G108" s="37"/>
      <c r="H108" s="37"/>
      <c r="I108" s="37"/>
      <c r="J108" s="37"/>
      <c r="K108" s="37"/>
      <c r="L108" s="37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AA108" s="214"/>
      <c r="AB108" s="206"/>
    </row>
    <row r="109" spans="2:28" ht="6" customHeight="1">
      <c r="B109" s="539"/>
      <c r="C109" s="539"/>
      <c r="D109" s="539"/>
      <c r="E109" s="539"/>
      <c r="F109" s="539"/>
      <c r="G109" s="539"/>
      <c r="H109" s="8"/>
      <c r="I109" s="8"/>
      <c r="J109" s="8"/>
      <c r="K109" s="8"/>
      <c r="L109" s="8"/>
      <c r="M109" s="44"/>
      <c r="N109" s="47"/>
      <c r="O109" s="47"/>
      <c r="P109" s="48"/>
      <c r="Q109" s="48"/>
      <c r="R109" s="48"/>
      <c r="S109" s="46"/>
      <c r="T109" s="46"/>
      <c r="U109" s="44"/>
      <c r="V109" s="44"/>
      <c r="W109" s="44"/>
      <c r="X109" s="44"/>
    </row>
    <row r="110" spans="2:28" s="10" customFormat="1">
      <c r="B110" s="8"/>
      <c r="C110" s="311"/>
      <c r="D110" s="311"/>
      <c r="E110" s="43"/>
      <c r="F110" s="37"/>
      <c r="G110" s="37"/>
      <c r="H110" s="37"/>
      <c r="I110" s="37"/>
      <c r="J110" s="37"/>
      <c r="K110" s="37"/>
      <c r="L110" s="37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AA110" s="214"/>
      <c r="AB110" s="206"/>
    </row>
    <row r="111" spans="2:28" s="10" customFormat="1">
      <c r="B111" s="8"/>
      <c r="C111" s="311"/>
      <c r="D111" s="311"/>
      <c r="E111" s="43"/>
      <c r="F111" s="37"/>
      <c r="G111" s="37"/>
      <c r="H111" s="37"/>
      <c r="I111" s="37"/>
      <c r="J111" s="37"/>
      <c r="K111" s="37"/>
      <c r="L111" s="37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AA111" s="214"/>
      <c r="AB111" s="206"/>
    </row>
    <row r="112" spans="2:28" s="10" customFormat="1">
      <c r="B112" s="8"/>
      <c r="C112" s="311"/>
      <c r="D112" s="311"/>
      <c r="E112" s="43"/>
      <c r="F112" s="37"/>
      <c r="G112" s="37"/>
      <c r="H112" s="37"/>
      <c r="I112" s="37"/>
      <c r="J112" s="37"/>
      <c r="K112" s="37"/>
      <c r="L112" s="37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AA112" s="214"/>
      <c r="AB112" s="206"/>
    </row>
    <row r="113" spans="2:28" s="10" customFormat="1">
      <c r="B113" s="8"/>
      <c r="C113" s="311"/>
      <c r="D113" s="311"/>
      <c r="E113" s="50"/>
      <c r="F113" s="38"/>
      <c r="G113" s="38"/>
      <c r="H113" s="38"/>
      <c r="I113" s="38"/>
      <c r="J113" s="38"/>
      <c r="K113" s="38"/>
      <c r="L113" s="38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AA113" s="214"/>
      <c r="AB113" s="206"/>
    </row>
    <row r="114" spans="2:28" s="10" customFormat="1">
      <c r="B114" s="8"/>
      <c r="C114" s="311"/>
      <c r="D114" s="311"/>
      <c r="E114" s="43"/>
      <c r="F114" s="37"/>
      <c r="G114" s="37"/>
      <c r="H114" s="37"/>
      <c r="I114" s="37"/>
      <c r="J114" s="37"/>
      <c r="K114" s="37"/>
      <c r="L114" s="37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AA114" s="214"/>
      <c r="AB114" s="206"/>
    </row>
    <row r="115" spans="2:28" s="10" customFormat="1">
      <c r="B115" s="8"/>
      <c r="C115" s="311"/>
      <c r="D115" s="311"/>
      <c r="E115" s="43"/>
      <c r="F115" s="37"/>
      <c r="G115" s="37"/>
      <c r="H115" s="37"/>
      <c r="I115" s="37"/>
      <c r="J115" s="37"/>
      <c r="K115" s="37"/>
      <c r="L115" s="37"/>
      <c r="M115" s="46"/>
      <c r="N115" s="46"/>
      <c r="O115" s="57"/>
      <c r="P115" s="57"/>
      <c r="Q115" s="57"/>
      <c r="R115" s="57"/>
      <c r="S115" s="46"/>
      <c r="T115" s="46"/>
      <c r="U115" s="46"/>
      <c r="V115" s="46"/>
      <c r="W115" s="46"/>
      <c r="X115" s="46"/>
      <c r="AA115" s="214"/>
      <c r="AB115" s="206"/>
    </row>
    <row r="116" spans="2:28" s="10" customFormat="1">
      <c r="B116" s="8"/>
      <c r="C116" s="311"/>
      <c r="D116" s="311"/>
      <c r="E116" s="43"/>
      <c r="F116" s="37"/>
      <c r="G116" s="37"/>
      <c r="H116" s="37"/>
      <c r="I116" s="37"/>
      <c r="J116" s="37"/>
      <c r="K116" s="37"/>
      <c r="L116" s="37"/>
      <c r="M116" s="46"/>
      <c r="N116" s="46"/>
      <c r="O116" s="57"/>
      <c r="P116" s="46"/>
      <c r="Q116" s="46"/>
      <c r="R116" s="46"/>
      <c r="S116" s="46"/>
      <c r="T116" s="46"/>
      <c r="U116" s="46"/>
      <c r="V116" s="46"/>
      <c r="W116" s="46"/>
      <c r="X116" s="46"/>
      <c r="AA116" s="214"/>
      <c r="AB116" s="206"/>
    </row>
    <row r="117" spans="2:28" s="10" customFormat="1">
      <c r="B117" s="8"/>
      <c r="C117" s="311"/>
      <c r="D117" s="311"/>
      <c r="E117" s="43"/>
      <c r="F117" s="37"/>
      <c r="G117" s="37"/>
      <c r="H117" s="37"/>
      <c r="I117" s="37"/>
      <c r="J117" s="37"/>
      <c r="K117" s="37"/>
      <c r="L117" s="37"/>
      <c r="M117" s="46"/>
      <c r="N117" s="46"/>
      <c r="O117" s="57"/>
      <c r="P117" s="46"/>
      <c r="Q117" s="46"/>
      <c r="R117" s="46"/>
      <c r="S117" s="46"/>
      <c r="T117" s="46"/>
      <c r="U117" s="46"/>
      <c r="V117" s="46"/>
      <c r="W117" s="46"/>
      <c r="X117" s="46"/>
      <c r="AA117" s="214"/>
      <c r="AB117" s="206"/>
    </row>
    <row r="118" spans="2:28" s="10" customFormat="1" ht="12.75" customHeight="1">
      <c r="B118" s="8"/>
      <c r="C118" s="311"/>
      <c r="D118" s="311"/>
      <c r="E118" s="43"/>
      <c r="F118" s="37"/>
      <c r="G118" s="37"/>
      <c r="H118" s="37"/>
      <c r="I118" s="37"/>
      <c r="J118" s="37"/>
      <c r="K118" s="37"/>
      <c r="L118" s="37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AA118" s="214"/>
      <c r="AB118" s="206"/>
    </row>
    <row r="119" spans="2:28" s="10" customFormat="1">
      <c r="B119" s="8"/>
      <c r="C119" s="311"/>
      <c r="D119" s="311"/>
      <c r="E119" s="43"/>
      <c r="F119" s="37"/>
      <c r="G119" s="37"/>
      <c r="H119" s="37"/>
      <c r="I119" s="37"/>
      <c r="J119" s="37"/>
      <c r="K119" s="37"/>
      <c r="L119" s="37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AA119" s="214"/>
      <c r="AB119" s="206"/>
    </row>
    <row r="120" spans="2:28" s="10" customFormat="1">
      <c r="B120" s="8"/>
      <c r="C120" s="311"/>
      <c r="D120" s="311"/>
      <c r="E120" s="43"/>
      <c r="F120" s="37"/>
      <c r="G120" s="37"/>
      <c r="H120" s="37"/>
      <c r="I120" s="37"/>
      <c r="J120" s="37"/>
      <c r="K120" s="37"/>
      <c r="L120" s="37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AA120" s="214"/>
      <c r="AB120" s="206"/>
    </row>
    <row r="121" spans="2:28" s="10" customFormat="1">
      <c r="B121" s="8"/>
      <c r="C121" s="311"/>
      <c r="D121" s="311"/>
      <c r="E121" s="43"/>
      <c r="F121" s="37"/>
      <c r="G121" s="37"/>
      <c r="H121" s="37"/>
      <c r="I121" s="37"/>
      <c r="J121" s="37"/>
      <c r="K121" s="37"/>
      <c r="L121" s="37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AA121" s="214"/>
      <c r="AB121" s="206"/>
    </row>
    <row r="122" spans="2:28" s="10" customFormat="1">
      <c r="B122" s="8"/>
      <c r="C122" s="311"/>
      <c r="D122" s="311"/>
      <c r="E122" s="50"/>
      <c r="F122" s="38"/>
      <c r="G122" s="38"/>
      <c r="H122" s="38"/>
      <c r="I122" s="38"/>
      <c r="J122" s="38"/>
      <c r="K122" s="38"/>
      <c r="L122" s="38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AA122" s="214"/>
      <c r="AB122" s="206"/>
    </row>
    <row r="123" spans="2:28" s="10" customFormat="1">
      <c r="B123" s="8"/>
      <c r="C123" s="311"/>
      <c r="D123" s="311"/>
      <c r="E123" s="54"/>
      <c r="F123" s="39"/>
      <c r="G123" s="39"/>
      <c r="H123" s="39"/>
      <c r="I123" s="39"/>
      <c r="J123" s="39"/>
      <c r="K123" s="39"/>
      <c r="L123" s="39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AA123" s="214"/>
      <c r="AB123" s="206"/>
    </row>
    <row r="124" spans="2:28" s="10" customFormat="1">
      <c r="B124" s="8"/>
      <c r="C124" s="311"/>
      <c r="D124" s="311"/>
      <c r="E124" s="43"/>
      <c r="F124" s="37"/>
      <c r="G124" s="37"/>
      <c r="H124" s="37"/>
      <c r="I124" s="37"/>
      <c r="J124" s="37"/>
      <c r="K124" s="37"/>
      <c r="L124" s="37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AA124" s="214"/>
      <c r="AB124" s="206"/>
    </row>
    <row r="125" spans="2:28" ht="6" customHeight="1">
      <c r="B125" s="539"/>
      <c r="C125" s="539"/>
      <c r="D125" s="539"/>
      <c r="E125" s="539"/>
      <c r="F125" s="539"/>
      <c r="G125" s="539"/>
      <c r="H125" s="8"/>
      <c r="I125" s="8"/>
      <c r="J125" s="8"/>
      <c r="K125" s="8"/>
      <c r="L125" s="8"/>
      <c r="M125" s="44"/>
      <c r="N125" s="47"/>
      <c r="O125" s="47"/>
      <c r="P125" s="48"/>
      <c r="Q125" s="48"/>
      <c r="R125" s="48"/>
      <c r="S125" s="46"/>
      <c r="T125" s="46"/>
      <c r="U125" s="44"/>
      <c r="V125" s="44"/>
      <c r="W125" s="44"/>
      <c r="X125" s="44"/>
    </row>
    <row r="126" spans="2:28" s="10" customFormat="1">
      <c r="B126" s="8"/>
      <c r="C126" s="311"/>
      <c r="D126" s="311"/>
      <c r="E126" s="43"/>
      <c r="F126" s="37"/>
      <c r="G126" s="37"/>
      <c r="H126" s="37"/>
      <c r="I126" s="37"/>
      <c r="J126" s="37"/>
      <c r="K126" s="37"/>
      <c r="L126" s="37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AA126" s="214"/>
      <c r="AB126" s="206"/>
    </row>
    <row r="127" spans="2:28" s="10" customFormat="1">
      <c r="B127" s="8"/>
      <c r="C127" s="311"/>
      <c r="D127" s="311"/>
      <c r="E127" s="43"/>
      <c r="F127" s="37"/>
      <c r="G127" s="37"/>
      <c r="H127" s="37"/>
      <c r="I127" s="37"/>
      <c r="J127" s="37"/>
      <c r="K127" s="37"/>
      <c r="L127" s="37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AA127" s="214"/>
      <c r="AB127" s="206"/>
    </row>
    <row r="128" spans="2:28" s="10" customFormat="1">
      <c r="B128" s="8"/>
      <c r="C128" s="311"/>
      <c r="D128" s="311"/>
      <c r="E128" s="43"/>
      <c r="F128" s="37"/>
      <c r="G128" s="37"/>
      <c r="H128" s="37"/>
      <c r="I128" s="37"/>
      <c r="J128" s="37"/>
      <c r="K128" s="37"/>
      <c r="L128" s="37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AA128" s="214"/>
      <c r="AB128" s="206"/>
    </row>
    <row r="129" spans="2:28" s="10" customFormat="1">
      <c r="B129" s="8"/>
      <c r="C129" s="311"/>
      <c r="D129" s="311"/>
      <c r="E129" s="43"/>
      <c r="F129" s="37"/>
      <c r="G129" s="37"/>
      <c r="H129" s="38"/>
      <c r="I129" s="38"/>
      <c r="J129" s="38"/>
      <c r="K129" s="38"/>
      <c r="L129" s="38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AA129" s="214"/>
      <c r="AB129" s="206"/>
    </row>
    <row r="130" spans="2:28" s="10" customFormat="1">
      <c r="B130" s="8"/>
      <c r="C130" s="311"/>
      <c r="D130" s="311"/>
      <c r="E130" s="43"/>
      <c r="F130" s="37"/>
      <c r="G130" s="37"/>
      <c r="H130" s="37"/>
      <c r="I130" s="37"/>
      <c r="J130" s="37"/>
      <c r="K130" s="37"/>
      <c r="L130" s="37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AA130" s="214"/>
      <c r="AB130" s="206"/>
    </row>
    <row r="131" spans="2:28" s="10" customFormat="1">
      <c r="B131" s="8"/>
      <c r="C131" s="311"/>
      <c r="D131" s="311"/>
      <c r="E131" s="43"/>
      <c r="F131" s="37"/>
      <c r="G131" s="37"/>
      <c r="H131" s="37"/>
      <c r="I131" s="37"/>
      <c r="J131" s="37"/>
      <c r="K131" s="37"/>
      <c r="L131" s="37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AA131" s="214"/>
      <c r="AB131" s="206"/>
    </row>
    <row r="132" spans="2:28" s="10" customFormat="1">
      <c r="B132" s="8"/>
      <c r="C132" s="311"/>
      <c r="D132" s="311"/>
      <c r="E132" s="50"/>
      <c r="F132" s="38"/>
      <c r="G132" s="38"/>
      <c r="H132" s="37"/>
      <c r="I132" s="37"/>
      <c r="J132" s="37"/>
      <c r="K132" s="37"/>
      <c r="L132" s="37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AA132" s="214"/>
      <c r="AB132" s="206"/>
    </row>
    <row r="133" spans="2:28" s="10" customFormat="1" ht="12.75" customHeight="1">
      <c r="B133" s="8"/>
      <c r="C133" s="311"/>
      <c r="D133" s="311"/>
      <c r="E133" s="43"/>
      <c r="F133" s="37"/>
      <c r="G133" s="37"/>
      <c r="H133" s="37"/>
      <c r="I133" s="37"/>
      <c r="J133" s="37"/>
      <c r="K133" s="37"/>
      <c r="L133" s="37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AA133" s="214"/>
      <c r="AB133" s="206"/>
    </row>
    <row r="134" spans="2:28" s="10" customFormat="1">
      <c r="B134" s="8"/>
      <c r="C134" s="311"/>
      <c r="D134" s="311"/>
      <c r="E134" s="43"/>
      <c r="F134" s="37"/>
      <c r="G134" s="37"/>
      <c r="H134" s="37"/>
      <c r="I134" s="37"/>
      <c r="J134" s="37"/>
      <c r="K134" s="37"/>
      <c r="L134" s="37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AA134" s="214"/>
      <c r="AB134" s="206"/>
    </row>
    <row r="135" spans="2:28" s="10" customFormat="1">
      <c r="B135" s="8"/>
      <c r="C135" s="311"/>
      <c r="D135" s="311"/>
      <c r="E135" s="43"/>
      <c r="F135" s="37"/>
      <c r="G135" s="37"/>
      <c r="H135" s="37"/>
      <c r="I135" s="37"/>
      <c r="J135" s="37"/>
      <c r="K135" s="37"/>
      <c r="L135" s="37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AA135" s="214"/>
      <c r="AB135" s="206"/>
    </row>
    <row r="136" spans="2:28" s="10" customFormat="1">
      <c r="B136" s="8"/>
      <c r="C136" s="311"/>
      <c r="D136" s="311"/>
      <c r="E136" s="43"/>
      <c r="F136" s="37"/>
      <c r="G136" s="37"/>
      <c r="H136" s="37"/>
      <c r="I136" s="37"/>
      <c r="J136" s="37"/>
      <c r="K136" s="37"/>
      <c r="L136" s="37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AA136" s="214"/>
      <c r="AB136" s="206"/>
    </row>
    <row r="137" spans="2:28" s="10" customFormat="1">
      <c r="B137" s="8"/>
      <c r="C137" s="311"/>
      <c r="D137" s="311"/>
      <c r="E137" s="43"/>
      <c r="F137" s="37"/>
      <c r="G137" s="37"/>
      <c r="H137" s="37"/>
      <c r="I137" s="37"/>
      <c r="J137" s="37"/>
      <c r="K137" s="37"/>
      <c r="L137" s="37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AA137" s="214"/>
      <c r="AB137" s="206"/>
    </row>
    <row r="138" spans="2:28" s="10" customFormat="1">
      <c r="B138" s="8"/>
      <c r="C138" s="311"/>
      <c r="D138" s="311"/>
      <c r="E138" s="43"/>
      <c r="F138" s="37"/>
      <c r="G138" s="37"/>
      <c r="H138" s="38"/>
      <c r="I138" s="38"/>
      <c r="J138" s="38"/>
      <c r="K138" s="38"/>
      <c r="L138" s="38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AA138" s="214"/>
      <c r="AB138" s="206"/>
    </row>
    <row r="139" spans="2:28" s="10" customFormat="1">
      <c r="B139" s="8"/>
      <c r="C139" s="311"/>
      <c r="D139" s="311"/>
      <c r="E139" s="43"/>
      <c r="F139" s="37"/>
      <c r="G139" s="37"/>
      <c r="H139" s="39"/>
      <c r="I139" s="39"/>
      <c r="J139" s="39"/>
      <c r="K139" s="39"/>
      <c r="L139" s="39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AA139" s="214"/>
      <c r="AB139" s="206"/>
    </row>
    <row r="140" spans="2:28" s="10" customFormat="1">
      <c r="B140" s="8"/>
      <c r="C140" s="311"/>
      <c r="D140" s="311"/>
      <c r="E140" s="43"/>
      <c r="F140" s="37"/>
      <c r="G140" s="37"/>
      <c r="H140" s="37"/>
      <c r="I140" s="37"/>
      <c r="J140" s="37"/>
      <c r="K140" s="37"/>
      <c r="L140" s="37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AA140" s="214"/>
      <c r="AB140" s="206"/>
    </row>
    <row r="141" spans="2:28" ht="6" customHeight="1">
      <c r="B141" s="8"/>
      <c r="C141" s="311"/>
      <c r="D141" s="311"/>
      <c r="E141" s="50"/>
      <c r="F141" s="38"/>
      <c r="G141" s="38"/>
      <c r="H141" s="8"/>
      <c r="I141" s="8"/>
      <c r="J141" s="8"/>
      <c r="K141" s="8"/>
      <c r="L141" s="8"/>
      <c r="M141" s="44"/>
      <c r="N141" s="47"/>
      <c r="O141" s="47"/>
      <c r="P141" s="48"/>
      <c r="Q141" s="48"/>
      <c r="R141" s="48"/>
      <c r="S141" s="46"/>
      <c r="T141" s="46"/>
      <c r="U141" s="44"/>
      <c r="V141" s="44"/>
      <c r="W141" s="44"/>
      <c r="X141" s="44"/>
    </row>
    <row r="142" spans="2:28" s="10" customFormat="1">
      <c r="B142" s="8"/>
      <c r="C142" s="311"/>
      <c r="D142" s="311"/>
      <c r="E142" s="54"/>
      <c r="F142" s="39"/>
      <c r="G142" s="39"/>
      <c r="H142" s="37"/>
      <c r="I142" s="37"/>
      <c r="J142" s="37"/>
      <c r="K142" s="37"/>
      <c r="L142" s="37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AA142" s="214"/>
      <c r="AB142" s="206"/>
    </row>
    <row r="143" spans="2:28" s="10" customFormat="1">
      <c r="B143" s="8"/>
      <c r="C143" s="311"/>
      <c r="D143" s="311"/>
      <c r="E143" s="43"/>
      <c r="F143" s="37"/>
      <c r="G143" s="37"/>
      <c r="H143" s="37"/>
      <c r="I143" s="37"/>
      <c r="J143" s="37"/>
      <c r="K143" s="37"/>
      <c r="L143" s="37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AA143" s="214"/>
      <c r="AB143" s="206"/>
    </row>
    <row r="144" spans="2:28" s="10" customFormat="1">
      <c r="B144" s="539"/>
      <c r="C144" s="539"/>
      <c r="D144" s="539"/>
      <c r="E144" s="539"/>
      <c r="F144" s="539"/>
      <c r="G144" s="539"/>
      <c r="H144" s="37"/>
      <c r="I144" s="37"/>
      <c r="J144" s="37"/>
      <c r="K144" s="37"/>
      <c r="L144" s="37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AA144" s="214"/>
      <c r="AB144" s="206"/>
    </row>
    <row r="145" spans="2:28" s="10" customFormat="1">
      <c r="B145" s="8"/>
      <c r="C145" s="311"/>
      <c r="D145" s="311"/>
      <c r="E145" s="43"/>
      <c r="F145" s="37"/>
      <c r="G145" s="37"/>
      <c r="H145" s="38"/>
      <c r="I145" s="38"/>
      <c r="J145" s="38"/>
      <c r="K145" s="38"/>
      <c r="L145" s="38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AA145" s="214"/>
      <c r="AB145" s="206"/>
    </row>
    <row r="146" spans="2:28" s="10" customFormat="1">
      <c r="B146" s="8"/>
      <c r="C146" s="311"/>
      <c r="D146" s="311"/>
      <c r="E146" s="43"/>
      <c r="F146" s="37"/>
      <c r="G146" s="37"/>
      <c r="H146" s="37"/>
      <c r="I146" s="37"/>
      <c r="J146" s="37"/>
      <c r="K146" s="37"/>
      <c r="L146" s="37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AA146" s="214"/>
      <c r="AB146" s="206"/>
    </row>
    <row r="147" spans="2:28" s="10" customFormat="1">
      <c r="B147" s="8"/>
      <c r="C147" s="311"/>
      <c r="D147" s="311"/>
      <c r="E147" s="43"/>
      <c r="F147" s="37"/>
      <c r="G147" s="37"/>
      <c r="H147" s="37"/>
      <c r="I147" s="37"/>
      <c r="J147" s="37"/>
      <c r="K147" s="37"/>
      <c r="L147" s="37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AA147" s="214"/>
      <c r="AB147" s="206"/>
    </row>
    <row r="148" spans="2:28" s="10" customFormat="1" ht="12.75" customHeight="1">
      <c r="B148" s="8"/>
      <c r="C148" s="311"/>
      <c r="D148" s="311"/>
      <c r="E148" s="50"/>
      <c r="F148" s="38"/>
      <c r="G148" s="38"/>
      <c r="H148" s="37"/>
      <c r="I148" s="37"/>
      <c r="J148" s="37"/>
      <c r="K148" s="37"/>
      <c r="L148" s="37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AA148" s="214"/>
      <c r="AB148" s="206"/>
    </row>
    <row r="149" spans="2:28" s="10" customFormat="1">
      <c r="B149" s="8"/>
      <c r="C149" s="311"/>
      <c r="D149" s="311"/>
      <c r="E149" s="43"/>
      <c r="F149" s="37"/>
      <c r="G149" s="37"/>
      <c r="H149" s="37"/>
      <c r="I149" s="37"/>
      <c r="J149" s="37"/>
      <c r="K149" s="37"/>
      <c r="L149" s="37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AA149" s="214"/>
      <c r="AB149" s="206"/>
    </row>
    <row r="150" spans="2:28" s="10" customFormat="1">
      <c r="B150" s="8"/>
      <c r="C150" s="311"/>
      <c r="D150" s="311"/>
      <c r="E150" s="43"/>
      <c r="F150" s="37"/>
      <c r="G150" s="37"/>
      <c r="H150" s="37"/>
      <c r="I150" s="37"/>
      <c r="J150" s="37"/>
      <c r="K150" s="37"/>
      <c r="L150" s="37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AA150" s="214"/>
      <c r="AB150" s="206"/>
    </row>
    <row r="151" spans="2:28" s="10" customFormat="1">
      <c r="B151" s="8"/>
      <c r="C151" s="311"/>
      <c r="D151" s="311"/>
      <c r="E151" s="43"/>
      <c r="F151" s="37"/>
      <c r="G151" s="37"/>
      <c r="H151" s="37"/>
      <c r="I151" s="37"/>
      <c r="J151" s="37"/>
      <c r="K151" s="37"/>
      <c r="L151" s="37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AA151" s="214"/>
      <c r="AB151" s="206"/>
    </row>
    <row r="152" spans="2:28" s="10" customFormat="1">
      <c r="B152" s="8"/>
      <c r="C152" s="311"/>
      <c r="D152" s="311"/>
      <c r="E152" s="43"/>
      <c r="F152" s="37"/>
      <c r="G152" s="37"/>
      <c r="H152" s="37"/>
      <c r="I152" s="37"/>
      <c r="J152" s="37"/>
      <c r="K152" s="37"/>
      <c r="L152" s="37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AA152" s="214"/>
      <c r="AB152" s="206"/>
    </row>
    <row r="153" spans="2:28" s="10" customFormat="1">
      <c r="B153" s="8"/>
      <c r="C153" s="311"/>
      <c r="D153" s="311"/>
      <c r="E153" s="43"/>
      <c r="F153" s="37"/>
      <c r="G153" s="37"/>
      <c r="H153" s="37"/>
      <c r="I153" s="37"/>
      <c r="J153" s="37"/>
      <c r="K153" s="37"/>
      <c r="L153" s="37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AA153" s="214"/>
      <c r="AB153" s="206"/>
    </row>
    <row r="154" spans="2:28" s="10" customFormat="1">
      <c r="B154" s="8"/>
      <c r="C154" s="311"/>
      <c r="D154" s="311"/>
      <c r="E154" s="43"/>
      <c r="F154" s="37"/>
      <c r="G154" s="37"/>
      <c r="H154" s="38"/>
      <c r="I154" s="38"/>
      <c r="J154" s="38"/>
      <c r="K154" s="38"/>
      <c r="L154" s="38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AA154" s="214"/>
      <c r="AB154" s="206"/>
    </row>
    <row r="155" spans="2:28" s="10" customFormat="1">
      <c r="B155" s="8"/>
      <c r="C155" s="311"/>
      <c r="D155" s="311"/>
      <c r="E155" s="43"/>
      <c r="F155" s="37"/>
      <c r="G155" s="37"/>
      <c r="H155" s="39"/>
      <c r="I155" s="39"/>
      <c r="J155" s="39"/>
      <c r="K155" s="39"/>
      <c r="L155" s="39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AA155" s="214"/>
      <c r="AB155" s="206"/>
    </row>
    <row r="156" spans="2:28" s="10" customFormat="1">
      <c r="B156" s="8"/>
      <c r="C156" s="311"/>
      <c r="D156" s="311"/>
      <c r="E156" s="43"/>
      <c r="F156" s="37"/>
      <c r="G156" s="37"/>
      <c r="H156" s="37"/>
      <c r="I156" s="37"/>
      <c r="J156" s="37"/>
      <c r="K156" s="37"/>
      <c r="L156" s="37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AA156" s="214"/>
      <c r="AB156" s="206"/>
    </row>
    <row r="157" spans="2:28" ht="6" customHeight="1">
      <c r="B157" s="8"/>
      <c r="C157" s="311"/>
      <c r="D157" s="311"/>
      <c r="E157" s="50"/>
      <c r="F157" s="38"/>
      <c r="G157" s="38"/>
      <c r="H157" s="8"/>
      <c r="I157" s="8"/>
      <c r="J157" s="8"/>
      <c r="K157" s="8"/>
      <c r="L157" s="8"/>
      <c r="M157" s="44"/>
      <c r="N157" s="47"/>
      <c r="O157" s="47"/>
      <c r="P157" s="48"/>
      <c r="Q157" s="48"/>
      <c r="R157" s="48"/>
      <c r="S157" s="46"/>
      <c r="T157" s="46"/>
      <c r="U157" s="44"/>
      <c r="V157" s="44"/>
      <c r="W157" s="44"/>
      <c r="X157" s="44"/>
    </row>
    <row r="158" spans="2:28" s="10" customFormat="1">
      <c r="B158" s="8"/>
      <c r="C158" s="311"/>
      <c r="D158" s="311"/>
      <c r="E158" s="54"/>
      <c r="F158" s="39"/>
      <c r="G158" s="39"/>
      <c r="H158" s="37"/>
      <c r="I158" s="37"/>
      <c r="J158" s="37"/>
      <c r="K158" s="37"/>
      <c r="L158" s="37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AA158" s="214"/>
      <c r="AB158" s="206"/>
    </row>
    <row r="159" spans="2:28" s="10" customFormat="1">
      <c r="B159" s="8"/>
      <c r="C159" s="311"/>
      <c r="D159" s="311"/>
      <c r="E159" s="43"/>
      <c r="F159" s="37"/>
      <c r="G159" s="37"/>
      <c r="H159" s="37"/>
      <c r="I159" s="37"/>
      <c r="J159" s="37"/>
      <c r="K159" s="37"/>
      <c r="L159" s="37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AA159" s="214"/>
      <c r="AB159" s="206"/>
    </row>
    <row r="160" spans="2:28" s="10" customFormat="1">
      <c r="B160" s="539"/>
      <c r="C160" s="539"/>
      <c r="D160" s="539"/>
      <c r="E160" s="539"/>
      <c r="F160" s="539"/>
      <c r="G160" s="539"/>
      <c r="H160" s="37"/>
      <c r="I160" s="37"/>
      <c r="J160" s="37"/>
      <c r="K160" s="37"/>
      <c r="L160" s="37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AA160" s="214"/>
      <c r="AB160" s="206"/>
    </row>
    <row r="161" spans="2:28" s="10" customFormat="1">
      <c r="B161" s="8"/>
      <c r="C161" s="311"/>
      <c r="D161" s="311"/>
      <c r="E161" s="43"/>
      <c r="F161" s="37"/>
      <c r="G161" s="37"/>
      <c r="H161" s="38"/>
      <c r="I161" s="38"/>
      <c r="J161" s="38"/>
      <c r="K161" s="38"/>
      <c r="L161" s="38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AA161" s="214"/>
      <c r="AB161" s="206"/>
    </row>
    <row r="162" spans="2:28" s="10" customFormat="1">
      <c r="B162" s="8"/>
      <c r="C162" s="311"/>
      <c r="D162" s="311"/>
      <c r="E162" s="43"/>
      <c r="F162" s="37"/>
      <c r="G162" s="37"/>
      <c r="H162" s="37"/>
      <c r="I162" s="37"/>
      <c r="J162" s="37"/>
      <c r="K162" s="37"/>
      <c r="L162" s="37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AA162" s="214"/>
      <c r="AB162" s="206"/>
    </row>
    <row r="163" spans="2:28" s="10" customFormat="1" ht="12.75" customHeight="1">
      <c r="B163" s="8"/>
      <c r="C163" s="311"/>
      <c r="D163" s="311"/>
      <c r="E163" s="43"/>
      <c r="F163" s="37"/>
      <c r="G163" s="37"/>
      <c r="H163" s="37"/>
      <c r="I163" s="37"/>
      <c r="J163" s="37"/>
      <c r="K163" s="37"/>
      <c r="L163" s="37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AA163" s="214"/>
      <c r="AB163" s="206"/>
    </row>
    <row r="164" spans="2:28" s="10" customFormat="1">
      <c r="B164" s="8"/>
      <c r="C164" s="311"/>
      <c r="D164" s="311"/>
      <c r="E164" s="50"/>
      <c r="F164" s="38"/>
      <c r="G164" s="38"/>
      <c r="H164" s="37"/>
      <c r="I164" s="37"/>
      <c r="J164" s="37"/>
      <c r="K164" s="37"/>
      <c r="L164" s="37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AA164" s="214"/>
      <c r="AB164" s="206"/>
    </row>
    <row r="165" spans="2:28" s="10" customFormat="1">
      <c r="B165" s="8"/>
      <c r="C165" s="311"/>
      <c r="D165" s="311"/>
      <c r="E165" s="43"/>
      <c r="F165" s="37"/>
      <c r="G165" s="37"/>
      <c r="H165" s="37"/>
      <c r="I165" s="37"/>
      <c r="J165" s="37"/>
      <c r="K165" s="37"/>
      <c r="L165" s="37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AA165" s="214"/>
      <c r="AB165" s="206"/>
    </row>
    <row r="166" spans="2:28" s="10" customFormat="1">
      <c r="B166" s="8"/>
      <c r="C166" s="311"/>
      <c r="D166" s="311"/>
      <c r="E166" s="43"/>
      <c r="F166" s="37"/>
      <c r="G166" s="37"/>
      <c r="H166" s="37"/>
      <c r="I166" s="37"/>
      <c r="J166" s="37"/>
      <c r="K166" s="37"/>
      <c r="L166" s="37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AA166" s="214"/>
      <c r="AB166" s="206"/>
    </row>
    <row r="167" spans="2:28" s="10" customFormat="1">
      <c r="B167" s="8"/>
      <c r="C167" s="311"/>
      <c r="D167" s="311"/>
      <c r="E167" s="43"/>
      <c r="F167" s="37"/>
      <c r="G167" s="37"/>
      <c r="H167" s="37"/>
      <c r="I167" s="37"/>
      <c r="J167" s="37"/>
      <c r="K167" s="37"/>
      <c r="L167" s="37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AA167" s="214"/>
      <c r="AB167" s="206"/>
    </row>
    <row r="168" spans="2:28" s="10" customFormat="1">
      <c r="B168" s="8"/>
      <c r="C168" s="311"/>
      <c r="D168" s="311"/>
      <c r="E168" s="43"/>
      <c r="F168" s="37"/>
      <c r="G168" s="37"/>
      <c r="H168" s="37"/>
      <c r="I168" s="37"/>
      <c r="J168" s="37"/>
      <c r="K168" s="37"/>
      <c r="L168" s="37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AA168" s="214"/>
      <c r="AB168" s="206"/>
    </row>
    <row r="169" spans="2:28" s="10" customFormat="1">
      <c r="B169" s="8"/>
      <c r="C169" s="311"/>
      <c r="D169" s="311"/>
      <c r="E169" s="43"/>
      <c r="F169" s="37"/>
      <c r="G169" s="37"/>
      <c r="H169" s="37"/>
      <c r="I169" s="37"/>
      <c r="J169" s="37"/>
      <c r="K169" s="37"/>
      <c r="L169" s="37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AA169" s="214"/>
      <c r="AB169" s="206"/>
    </row>
    <row r="170" spans="2:28" s="10" customFormat="1">
      <c r="B170" s="8"/>
      <c r="C170" s="311"/>
      <c r="D170" s="311"/>
      <c r="E170" s="43"/>
      <c r="F170" s="37"/>
      <c r="G170" s="37"/>
      <c r="H170" s="38"/>
      <c r="I170" s="38"/>
      <c r="J170" s="38"/>
      <c r="K170" s="38"/>
      <c r="L170" s="38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AA170" s="214"/>
      <c r="AB170" s="206"/>
    </row>
    <row r="171" spans="2:28" s="10" customFormat="1">
      <c r="B171" s="8"/>
      <c r="C171" s="311"/>
      <c r="D171" s="311"/>
      <c r="E171" s="43"/>
      <c r="F171" s="37"/>
      <c r="G171" s="37"/>
      <c r="H171" s="39"/>
      <c r="I171" s="39"/>
      <c r="J171" s="39"/>
      <c r="K171" s="39"/>
      <c r="L171" s="39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AA171" s="214"/>
      <c r="AB171" s="206"/>
    </row>
    <row r="172" spans="2:28" s="10" customFormat="1">
      <c r="B172" s="8"/>
      <c r="C172" s="311"/>
      <c r="D172" s="311"/>
      <c r="E172" s="43"/>
      <c r="F172" s="37"/>
      <c r="G172" s="37"/>
      <c r="H172" s="37"/>
      <c r="I172" s="37"/>
      <c r="J172" s="37"/>
      <c r="K172" s="37"/>
      <c r="L172" s="37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AA172" s="214"/>
      <c r="AB172" s="206"/>
    </row>
    <row r="173" spans="2:28" ht="6" customHeight="1">
      <c r="B173" s="8"/>
      <c r="C173" s="311"/>
      <c r="D173" s="311"/>
      <c r="E173" s="50"/>
      <c r="F173" s="38"/>
      <c r="G173" s="38"/>
      <c r="H173" s="8"/>
      <c r="I173" s="8"/>
      <c r="J173" s="8"/>
      <c r="K173" s="8"/>
      <c r="L173" s="8"/>
      <c r="M173" s="44"/>
      <c r="N173" s="47"/>
      <c r="O173" s="47"/>
      <c r="P173" s="48"/>
      <c r="Q173" s="48"/>
      <c r="R173" s="48"/>
      <c r="S173" s="46"/>
      <c r="T173" s="46"/>
      <c r="U173" s="44"/>
      <c r="V173" s="44"/>
      <c r="W173" s="44"/>
      <c r="X173" s="44"/>
    </row>
    <row r="174" spans="2:28" s="10" customFormat="1">
      <c r="B174" s="8"/>
      <c r="C174" s="311"/>
      <c r="D174" s="311"/>
      <c r="E174" s="54"/>
      <c r="F174" s="39"/>
      <c r="G174" s="39"/>
      <c r="H174" s="37"/>
      <c r="I174" s="37"/>
      <c r="J174" s="37"/>
      <c r="K174" s="37"/>
      <c r="L174" s="37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AA174" s="214"/>
      <c r="AB174" s="206"/>
    </row>
    <row r="175" spans="2:28" s="10" customFormat="1">
      <c r="B175" s="8"/>
      <c r="C175" s="311"/>
      <c r="D175" s="311"/>
      <c r="E175" s="43"/>
      <c r="F175" s="37"/>
      <c r="G175" s="37"/>
      <c r="H175" s="37"/>
      <c r="I175" s="37"/>
      <c r="J175" s="37"/>
      <c r="K175" s="37"/>
      <c r="L175" s="37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AA175" s="214"/>
      <c r="AB175" s="206"/>
    </row>
    <row r="176" spans="2:28" s="10" customFormat="1">
      <c r="B176" s="539"/>
      <c r="C176" s="539"/>
      <c r="D176" s="539"/>
      <c r="E176" s="539"/>
      <c r="F176" s="539"/>
      <c r="G176" s="539"/>
      <c r="H176" s="37"/>
      <c r="I176" s="37"/>
      <c r="J176" s="37"/>
      <c r="K176" s="37"/>
      <c r="L176" s="37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AA176" s="214"/>
      <c r="AB176" s="206"/>
    </row>
    <row r="177" spans="2:28" s="10" customFormat="1">
      <c r="B177" s="8"/>
      <c r="C177" s="311"/>
      <c r="D177" s="311"/>
      <c r="E177" s="43"/>
      <c r="F177" s="37"/>
      <c r="G177" s="37"/>
      <c r="H177" s="38"/>
      <c r="I177" s="38"/>
      <c r="J177" s="38"/>
      <c r="K177" s="38"/>
      <c r="L177" s="38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AA177" s="214"/>
      <c r="AB177" s="206"/>
    </row>
    <row r="178" spans="2:28" s="10" customFormat="1" ht="12.75" customHeight="1">
      <c r="B178" s="8"/>
      <c r="C178" s="311"/>
      <c r="D178" s="311"/>
      <c r="E178" s="43"/>
      <c r="F178" s="37"/>
      <c r="G178" s="37"/>
      <c r="H178" s="37"/>
      <c r="I178" s="37"/>
      <c r="J178" s="37"/>
      <c r="K178" s="37"/>
      <c r="L178" s="37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AA178" s="214"/>
      <c r="AB178" s="206"/>
    </row>
    <row r="179" spans="2:28" s="10" customFormat="1">
      <c r="B179" s="8"/>
      <c r="C179" s="311"/>
      <c r="D179" s="311"/>
      <c r="E179" s="43"/>
      <c r="F179" s="37"/>
      <c r="G179" s="37"/>
      <c r="H179" s="37"/>
      <c r="I179" s="37"/>
      <c r="J179" s="37"/>
      <c r="K179" s="37"/>
      <c r="L179" s="37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AA179" s="214"/>
      <c r="AB179" s="206"/>
    </row>
    <row r="180" spans="2:28" s="10" customFormat="1">
      <c r="B180" s="8"/>
      <c r="C180" s="311"/>
      <c r="D180" s="311"/>
      <c r="E180" s="50"/>
      <c r="F180" s="38"/>
      <c r="G180" s="38"/>
      <c r="H180" s="37"/>
      <c r="I180" s="37"/>
      <c r="J180" s="37"/>
      <c r="K180" s="37"/>
      <c r="L180" s="37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AA180" s="214"/>
      <c r="AB180" s="206"/>
    </row>
    <row r="181" spans="2:28" s="10" customFormat="1">
      <c r="B181" s="8"/>
      <c r="C181" s="311"/>
      <c r="D181" s="311"/>
      <c r="E181" s="43"/>
      <c r="F181" s="37"/>
      <c r="G181" s="37"/>
      <c r="H181" s="37"/>
      <c r="I181" s="37"/>
      <c r="J181" s="37"/>
      <c r="K181" s="37"/>
      <c r="L181" s="37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AA181" s="214"/>
      <c r="AB181" s="206"/>
    </row>
    <row r="182" spans="2:28" s="10" customFormat="1">
      <c r="B182" s="8"/>
      <c r="C182" s="311"/>
      <c r="D182" s="311"/>
      <c r="E182" s="43"/>
      <c r="F182" s="37"/>
      <c r="G182" s="37"/>
      <c r="H182" s="37"/>
      <c r="I182" s="37"/>
      <c r="J182" s="37"/>
      <c r="K182" s="37"/>
      <c r="L182" s="37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AA182" s="214"/>
      <c r="AB182" s="206"/>
    </row>
    <row r="183" spans="2:28" s="10" customFormat="1">
      <c r="B183" s="8"/>
      <c r="C183" s="311"/>
      <c r="D183" s="311"/>
      <c r="E183" s="43"/>
      <c r="F183" s="37"/>
      <c r="G183" s="37"/>
      <c r="H183" s="37"/>
      <c r="I183" s="37"/>
      <c r="J183" s="37"/>
      <c r="K183" s="37"/>
      <c r="L183" s="37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AA183" s="214"/>
      <c r="AB183" s="206"/>
    </row>
    <row r="184" spans="2:28" s="10" customFormat="1">
      <c r="B184" s="8"/>
      <c r="C184" s="311"/>
      <c r="D184" s="311"/>
      <c r="E184" s="43"/>
      <c r="F184" s="37"/>
      <c r="G184" s="37"/>
      <c r="H184" s="37"/>
      <c r="I184" s="37"/>
      <c r="J184" s="37"/>
      <c r="K184" s="37"/>
      <c r="L184" s="37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AA184" s="214"/>
      <c r="AB184" s="206"/>
    </row>
    <row r="185" spans="2:28" s="10" customFormat="1">
      <c r="B185" s="8"/>
      <c r="C185" s="311"/>
      <c r="D185" s="311"/>
      <c r="E185" s="43"/>
      <c r="F185" s="37"/>
      <c r="G185" s="37"/>
      <c r="H185" s="37"/>
      <c r="I185" s="37"/>
      <c r="J185" s="37"/>
      <c r="K185" s="37"/>
      <c r="L185" s="37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AA185" s="214"/>
      <c r="AB185" s="206"/>
    </row>
    <row r="186" spans="2:28" s="10" customFormat="1">
      <c r="B186" s="8"/>
      <c r="C186" s="311"/>
      <c r="D186" s="311"/>
      <c r="E186" s="43"/>
      <c r="F186" s="37"/>
      <c r="G186" s="37"/>
      <c r="H186" s="38"/>
      <c r="I186" s="38"/>
      <c r="J186" s="38"/>
      <c r="K186" s="38"/>
      <c r="L186" s="38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AA186" s="214"/>
      <c r="AB186" s="206"/>
    </row>
    <row r="187" spans="2:28" s="10" customFormat="1">
      <c r="B187" s="8"/>
      <c r="C187" s="311"/>
      <c r="D187" s="311"/>
      <c r="E187" s="43"/>
      <c r="F187" s="37"/>
      <c r="G187" s="37"/>
      <c r="H187" s="39"/>
      <c r="I187" s="39"/>
      <c r="J187" s="39"/>
      <c r="K187" s="39"/>
      <c r="L187" s="39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AA187" s="214"/>
      <c r="AB187" s="206"/>
    </row>
    <row r="188" spans="2:28" s="10" customFormat="1">
      <c r="B188" s="8"/>
      <c r="C188" s="311"/>
      <c r="D188" s="311"/>
      <c r="E188" s="43"/>
      <c r="F188" s="37"/>
      <c r="G188" s="37"/>
      <c r="H188" s="37"/>
      <c r="I188" s="37"/>
      <c r="J188" s="37"/>
      <c r="K188" s="37"/>
      <c r="L188" s="37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AA188" s="214"/>
      <c r="AB188" s="206"/>
    </row>
    <row r="189" spans="2:28" s="10" customFormat="1">
      <c r="B189" s="8"/>
      <c r="C189" s="311"/>
      <c r="D189" s="311"/>
      <c r="E189" s="50"/>
      <c r="F189" s="38"/>
      <c r="G189" s="38"/>
      <c r="H189" s="39"/>
      <c r="I189" s="39"/>
      <c r="J189" s="39"/>
      <c r="K189" s="39"/>
      <c r="L189" s="39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AA189" s="214"/>
      <c r="AB189" s="206"/>
    </row>
    <row r="190" spans="2:28" s="10" customFormat="1">
      <c r="B190" s="8"/>
      <c r="C190" s="311"/>
      <c r="D190" s="311"/>
      <c r="E190" s="54"/>
      <c r="F190" s="39"/>
      <c r="G190" s="39"/>
      <c r="H190" s="37"/>
      <c r="I190" s="37"/>
      <c r="J190" s="37"/>
      <c r="K190" s="37"/>
      <c r="L190" s="37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AA190" s="214"/>
      <c r="AB190" s="206"/>
    </row>
    <row r="191" spans="2:28" s="10" customFormat="1">
      <c r="B191" s="8"/>
      <c r="C191" s="311"/>
      <c r="D191" s="311"/>
      <c r="E191" s="43"/>
      <c r="F191" s="37"/>
      <c r="G191" s="37"/>
      <c r="H191" s="37"/>
      <c r="I191" s="37"/>
      <c r="J191" s="37"/>
      <c r="K191" s="37"/>
      <c r="L191" s="37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AA191" s="214"/>
      <c r="AB191" s="206"/>
    </row>
    <row r="192" spans="2:28" s="10" customFormat="1">
      <c r="B192" s="539"/>
      <c r="C192" s="539"/>
      <c r="D192" s="539"/>
      <c r="E192" s="539"/>
      <c r="F192" s="539"/>
      <c r="G192" s="539"/>
      <c r="H192" s="37"/>
      <c r="I192" s="37"/>
      <c r="J192" s="37"/>
      <c r="K192" s="37"/>
      <c r="L192" s="37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AA192" s="214"/>
      <c r="AB192" s="206"/>
    </row>
    <row r="193" spans="2:28" s="10" customFormat="1">
      <c r="B193" s="8"/>
      <c r="C193" s="311"/>
      <c r="D193" s="311"/>
      <c r="E193" s="43"/>
      <c r="F193" s="37"/>
      <c r="G193" s="37"/>
      <c r="H193" s="38"/>
      <c r="I193" s="38"/>
      <c r="J193" s="38"/>
      <c r="K193" s="38"/>
      <c r="L193" s="38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AA193" s="214"/>
      <c r="AB193" s="206"/>
    </row>
    <row r="194" spans="2:28" s="10" customFormat="1" ht="12.75" customHeight="1">
      <c r="B194" s="8"/>
      <c r="C194" s="311"/>
      <c r="D194" s="311"/>
      <c r="E194" s="43"/>
      <c r="F194" s="37"/>
      <c r="G194" s="37"/>
      <c r="H194" s="37"/>
      <c r="I194" s="37"/>
      <c r="J194" s="37"/>
      <c r="K194" s="37"/>
      <c r="L194" s="37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AA194" s="214"/>
      <c r="AB194" s="206"/>
    </row>
    <row r="195" spans="2:28" s="10" customFormat="1">
      <c r="B195" s="8"/>
      <c r="C195" s="311"/>
      <c r="D195" s="311"/>
      <c r="E195" s="43"/>
      <c r="F195" s="37"/>
      <c r="G195" s="37"/>
      <c r="H195" s="37"/>
      <c r="I195" s="37"/>
      <c r="J195" s="37"/>
      <c r="K195" s="37"/>
      <c r="L195" s="37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AA195" s="214"/>
      <c r="AB195" s="206"/>
    </row>
    <row r="196" spans="2:28" s="10" customFormat="1">
      <c r="B196" s="8"/>
      <c r="C196" s="311"/>
      <c r="D196" s="311"/>
      <c r="E196" s="43"/>
      <c r="F196" s="37"/>
      <c r="G196" s="37"/>
      <c r="H196" s="37"/>
      <c r="I196" s="37"/>
      <c r="J196" s="37"/>
      <c r="K196" s="37"/>
      <c r="L196" s="37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AA196" s="214"/>
      <c r="AB196" s="206"/>
    </row>
    <row r="197" spans="2:28" s="10" customFormat="1">
      <c r="B197" s="8"/>
      <c r="C197" s="311"/>
      <c r="D197" s="311"/>
      <c r="E197" s="43"/>
      <c r="F197" s="37"/>
      <c r="G197" s="37"/>
      <c r="H197" s="37"/>
      <c r="I197" s="37"/>
      <c r="J197" s="37"/>
      <c r="K197" s="37"/>
      <c r="L197" s="37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AA197" s="214"/>
      <c r="AB197" s="206"/>
    </row>
    <row r="198" spans="2:28" s="10" customFormat="1">
      <c r="B198" s="8"/>
      <c r="C198" s="311"/>
      <c r="D198" s="311"/>
      <c r="E198" s="43"/>
      <c r="F198" s="37"/>
      <c r="G198" s="37"/>
      <c r="H198" s="37"/>
      <c r="I198" s="37"/>
      <c r="J198" s="37"/>
      <c r="K198" s="37"/>
      <c r="L198" s="37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AA198" s="214"/>
      <c r="AB198" s="206"/>
    </row>
    <row r="199" spans="2:28" s="10" customFormat="1">
      <c r="B199" s="8"/>
      <c r="C199" s="311"/>
      <c r="D199" s="311"/>
      <c r="E199" s="50"/>
      <c r="F199" s="38"/>
      <c r="G199" s="38"/>
      <c r="H199" s="37"/>
      <c r="I199" s="37"/>
      <c r="J199" s="37"/>
      <c r="K199" s="37"/>
      <c r="L199" s="37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AA199" s="214"/>
      <c r="AB199" s="206"/>
    </row>
    <row r="200" spans="2:28" s="10" customFormat="1">
      <c r="B200" s="8"/>
      <c r="C200" s="311"/>
      <c r="D200" s="311"/>
      <c r="E200" s="43"/>
      <c r="F200" s="37"/>
      <c r="G200" s="37"/>
      <c r="H200" s="37"/>
      <c r="I200" s="37"/>
      <c r="J200" s="37"/>
      <c r="K200" s="37"/>
      <c r="L200" s="37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AA200" s="214"/>
      <c r="AB200" s="206"/>
    </row>
    <row r="201" spans="2:28" s="10" customFormat="1">
      <c r="B201" s="8"/>
      <c r="C201" s="311"/>
      <c r="D201" s="311"/>
      <c r="E201" s="43"/>
      <c r="F201" s="37"/>
      <c r="G201" s="37"/>
      <c r="H201" s="37"/>
      <c r="I201" s="37"/>
      <c r="J201" s="37"/>
      <c r="K201" s="37"/>
      <c r="L201" s="37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AA201" s="214"/>
      <c r="AB201" s="206"/>
    </row>
    <row r="202" spans="2:28" s="10" customFormat="1">
      <c r="B202" s="8"/>
      <c r="C202" s="311"/>
      <c r="D202" s="311"/>
      <c r="E202" s="43"/>
      <c r="F202" s="37"/>
      <c r="G202" s="37"/>
      <c r="H202" s="37"/>
      <c r="I202" s="37"/>
      <c r="J202" s="37"/>
      <c r="K202" s="37"/>
      <c r="L202" s="37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AA202" s="214"/>
      <c r="AB202" s="206"/>
    </row>
    <row r="203" spans="2:28" s="10" customFormat="1">
      <c r="B203" s="8"/>
      <c r="C203" s="311"/>
      <c r="D203" s="311"/>
      <c r="E203" s="43"/>
      <c r="F203" s="37"/>
      <c r="G203" s="37"/>
      <c r="H203" s="37"/>
      <c r="I203" s="37"/>
      <c r="J203" s="37"/>
      <c r="K203" s="37"/>
      <c r="L203" s="37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AA203" s="214"/>
      <c r="AB203" s="206"/>
    </row>
    <row r="204" spans="2:28" s="10" customFormat="1">
      <c r="B204" s="8"/>
      <c r="C204" s="311"/>
      <c r="D204" s="311"/>
      <c r="E204" s="43"/>
      <c r="F204" s="37"/>
      <c r="G204" s="37"/>
      <c r="H204" s="37"/>
      <c r="I204" s="37"/>
      <c r="J204" s="37"/>
      <c r="K204" s="37"/>
      <c r="L204" s="37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AA204" s="214"/>
      <c r="AB204" s="206"/>
    </row>
    <row r="205" spans="2:28" s="10" customFormat="1">
      <c r="B205" s="8"/>
      <c r="C205" s="311"/>
      <c r="D205" s="311"/>
      <c r="E205" s="43"/>
      <c r="F205" s="37"/>
      <c r="G205" s="37"/>
      <c r="H205" s="38"/>
      <c r="I205" s="38"/>
      <c r="J205" s="38"/>
      <c r="K205" s="38"/>
      <c r="L205" s="38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AA205" s="214"/>
      <c r="AB205" s="206"/>
    </row>
    <row r="206" spans="2:28" s="10" customFormat="1">
      <c r="B206" s="8"/>
      <c r="C206" s="311"/>
      <c r="D206" s="311"/>
      <c r="E206" s="43"/>
      <c r="F206" s="37"/>
      <c r="G206" s="37"/>
      <c r="H206" s="39"/>
      <c r="I206" s="39"/>
      <c r="J206" s="39"/>
      <c r="K206" s="39"/>
      <c r="L206" s="39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AA206" s="214"/>
      <c r="AB206" s="206"/>
    </row>
    <row r="207" spans="2:28" s="10" customFormat="1">
      <c r="B207" s="8"/>
      <c r="C207" s="311"/>
      <c r="D207" s="311"/>
      <c r="E207" s="43"/>
      <c r="F207" s="37"/>
      <c r="G207" s="37"/>
      <c r="H207" s="37"/>
      <c r="I207" s="37"/>
      <c r="J207" s="37"/>
      <c r="K207" s="37"/>
      <c r="L207" s="37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AA207" s="214"/>
      <c r="AB207" s="206"/>
    </row>
    <row r="208" spans="2:28" s="10" customFormat="1">
      <c r="B208" s="8"/>
      <c r="C208" s="311"/>
      <c r="D208" s="311"/>
      <c r="E208" s="50"/>
      <c r="F208" s="37"/>
      <c r="G208" s="38"/>
      <c r="H208" s="39"/>
      <c r="I208" s="39"/>
      <c r="J208" s="39"/>
      <c r="K208" s="39"/>
      <c r="L208" s="39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AA208" s="214"/>
      <c r="AB208" s="206"/>
    </row>
    <row r="209" spans="2:28" s="10" customFormat="1">
      <c r="B209" s="8"/>
      <c r="C209" s="311"/>
      <c r="D209" s="311"/>
      <c r="E209" s="54"/>
      <c r="F209" s="39"/>
      <c r="G209" s="39"/>
      <c r="H209" s="37"/>
      <c r="I209" s="37"/>
      <c r="J209" s="37"/>
      <c r="K209" s="37"/>
      <c r="L209" s="37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AA209" s="214"/>
      <c r="AB209" s="206"/>
    </row>
    <row r="210" spans="2:28" s="10" customFormat="1">
      <c r="B210" s="8"/>
      <c r="C210" s="311"/>
      <c r="D210" s="311"/>
      <c r="E210" s="43"/>
      <c r="F210" s="37"/>
      <c r="G210" s="37"/>
      <c r="H210" s="37"/>
      <c r="I210" s="37"/>
      <c r="J210" s="37"/>
      <c r="K210" s="37"/>
      <c r="L210" s="37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AA210" s="214"/>
      <c r="AB210" s="206"/>
    </row>
    <row r="211" spans="2:28" s="10" customFormat="1">
      <c r="B211" s="539"/>
      <c r="C211" s="539"/>
      <c r="D211" s="539"/>
      <c r="E211" s="539"/>
      <c r="F211" s="539"/>
      <c r="G211" s="539"/>
      <c r="H211" s="37"/>
      <c r="I211" s="37"/>
      <c r="J211" s="37"/>
      <c r="K211" s="37"/>
      <c r="L211" s="37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AA211" s="214"/>
      <c r="AB211" s="206"/>
    </row>
    <row r="212" spans="2:28" s="10" customFormat="1">
      <c r="B212" s="8"/>
      <c r="C212" s="311"/>
      <c r="D212" s="311"/>
      <c r="E212" s="43"/>
      <c r="F212" s="37"/>
      <c r="G212" s="37"/>
      <c r="H212" s="38"/>
      <c r="I212" s="38"/>
      <c r="J212" s="38"/>
      <c r="K212" s="38"/>
      <c r="L212" s="38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AA212" s="214"/>
      <c r="AB212" s="206"/>
    </row>
    <row r="213" spans="2:28" s="10" customFormat="1">
      <c r="B213" s="8"/>
      <c r="C213" s="311"/>
      <c r="D213" s="311"/>
      <c r="E213" s="43"/>
      <c r="F213" s="37"/>
      <c r="G213" s="37"/>
      <c r="H213" s="38"/>
      <c r="I213" s="38"/>
      <c r="J213" s="38"/>
      <c r="K213" s="38"/>
      <c r="L213" s="38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AA213" s="214"/>
      <c r="AB213" s="206"/>
    </row>
    <row r="214" spans="2:28" s="10" customFormat="1">
      <c r="B214" s="8"/>
      <c r="C214" s="311"/>
      <c r="D214" s="311"/>
      <c r="E214" s="43"/>
      <c r="F214" s="37"/>
      <c r="G214" s="37"/>
      <c r="H214" s="37"/>
      <c r="I214" s="37"/>
      <c r="J214" s="37"/>
      <c r="K214" s="37"/>
      <c r="L214" s="37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AA214" s="214"/>
      <c r="AB214" s="206"/>
    </row>
    <row r="215" spans="2:28" s="10" customFormat="1">
      <c r="B215" s="8"/>
      <c r="C215" s="311"/>
      <c r="D215" s="311"/>
      <c r="E215" s="50"/>
      <c r="F215" s="38"/>
      <c r="G215" s="38"/>
      <c r="H215" s="37"/>
      <c r="I215" s="37"/>
      <c r="J215" s="37"/>
      <c r="K215" s="37"/>
      <c r="L215" s="37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AA215" s="214"/>
      <c r="AB215" s="206"/>
    </row>
    <row r="216" spans="2:28" s="10" customFormat="1">
      <c r="B216" s="8"/>
      <c r="C216" s="311"/>
      <c r="D216" s="311"/>
      <c r="E216" s="62"/>
      <c r="F216" s="37"/>
      <c r="G216" s="38"/>
      <c r="H216" s="37"/>
      <c r="I216" s="37"/>
      <c r="J216" s="37"/>
      <c r="K216" s="37"/>
      <c r="L216" s="37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AA216" s="214"/>
      <c r="AB216" s="206"/>
    </row>
    <row r="217" spans="2:28" s="10" customFormat="1">
      <c r="B217" s="8"/>
      <c r="C217" s="311"/>
      <c r="D217" s="311"/>
      <c r="E217" s="62"/>
      <c r="F217" s="37"/>
      <c r="G217" s="38"/>
      <c r="H217" s="37"/>
      <c r="I217" s="37"/>
      <c r="J217" s="37"/>
      <c r="K217" s="37"/>
      <c r="L217" s="37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AA217" s="214"/>
      <c r="AB217" s="206"/>
    </row>
    <row r="218" spans="2:28" s="10" customFormat="1">
      <c r="B218" s="8"/>
      <c r="C218" s="311"/>
      <c r="D218" s="311"/>
      <c r="E218" s="50"/>
      <c r="F218" s="38"/>
      <c r="G218" s="37"/>
      <c r="H218" s="37"/>
      <c r="I218" s="37"/>
      <c r="J218" s="37"/>
      <c r="K218" s="37"/>
      <c r="L218" s="37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AA218" s="214"/>
      <c r="AB218" s="206"/>
    </row>
    <row r="219" spans="2:28" s="10" customFormat="1">
      <c r="B219" s="8"/>
      <c r="C219" s="311"/>
      <c r="D219" s="311"/>
      <c r="E219" s="43"/>
      <c r="F219" s="37"/>
      <c r="G219" s="37"/>
      <c r="H219" s="37"/>
      <c r="I219" s="37"/>
      <c r="J219" s="37"/>
      <c r="K219" s="37"/>
      <c r="L219" s="37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AA219" s="214"/>
      <c r="AB219" s="206"/>
    </row>
    <row r="220" spans="2:28" s="10" customFormat="1">
      <c r="B220" s="8"/>
      <c r="C220" s="311"/>
      <c r="D220" s="311"/>
      <c r="E220" s="43"/>
      <c r="F220" s="37"/>
      <c r="G220" s="37"/>
      <c r="H220" s="37"/>
      <c r="I220" s="37"/>
      <c r="J220" s="37"/>
      <c r="K220" s="37"/>
      <c r="L220" s="37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AA220" s="214"/>
      <c r="AB220" s="206"/>
    </row>
    <row r="221" spans="2:28" s="10" customFormat="1">
      <c r="B221" s="8"/>
      <c r="C221" s="311"/>
      <c r="D221" s="311"/>
      <c r="E221" s="43"/>
      <c r="F221" s="37"/>
      <c r="G221" s="37"/>
      <c r="H221" s="37"/>
      <c r="I221" s="37"/>
      <c r="J221" s="37"/>
      <c r="K221" s="37"/>
      <c r="L221" s="37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AA221" s="214"/>
      <c r="AB221" s="206"/>
    </row>
    <row r="222" spans="2:28" s="10" customFormat="1">
      <c r="B222" s="8"/>
      <c r="C222" s="311"/>
      <c r="D222" s="311"/>
      <c r="E222" s="43"/>
      <c r="F222" s="37"/>
      <c r="G222" s="37"/>
      <c r="H222" s="38"/>
      <c r="I222" s="38"/>
      <c r="J222" s="38"/>
      <c r="K222" s="38"/>
      <c r="L222" s="38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AA222" s="214"/>
      <c r="AB222" s="206"/>
    </row>
    <row r="223" spans="2:28" s="10" customFormat="1">
      <c r="B223" s="8"/>
      <c r="C223" s="311"/>
      <c r="D223" s="311"/>
      <c r="E223" s="43"/>
      <c r="F223" s="37"/>
      <c r="G223" s="37"/>
      <c r="H223" s="39"/>
      <c r="I223" s="39"/>
      <c r="J223" s="39"/>
      <c r="K223" s="39"/>
      <c r="L223" s="39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AA223" s="214"/>
      <c r="AB223" s="206"/>
    </row>
    <row r="224" spans="2:28">
      <c r="B224" s="8"/>
      <c r="C224" s="311"/>
      <c r="D224" s="311"/>
      <c r="E224" s="43"/>
      <c r="F224" s="37"/>
      <c r="G224" s="37"/>
      <c r="H224" s="37"/>
      <c r="I224" s="37"/>
      <c r="J224" s="37"/>
      <c r="K224" s="37"/>
      <c r="L224" s="37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</row>
    <row r="225" spans="2:28" s="10" customFormat="1">
      <c r="B225" s="8"/>
      <c r="C225" s="311"/>
      <c r="D225" s="311"/>
      <c r="E225" s="43"/>
      <c r="F225" s="37"/>
      <c r="G225" s="37"/>
      <c r="H225" s="39"/>
      <c r="I225" s="39"/>
      <c r="J225" s="39"/>
      <c r="K225" s="39"/>
      <c r="L225" s="39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AA225" s="214"/>
      <c r="AB225" s="206"/>
    </row>
    <row r="226" spans="2:28">
      <c r="B226" s="8"/>
      <c r="C226" s="311"/>
      <c r="D226" s="311"/>
      <c r="E226" s="43"/>
      <c r="F226" s="38"/>
      <c r="G226" s="37"/>
      <c r="H226" s="37"/>
      <c r="I226" s="37"/>
      <c r="J226" s="37"/>
      <c r="K226" s="37"/>
      <c r="L226" s="37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</row>
    <row r="227" spans="2:28">
      <c r="B227" s="8"/>
      <c r="C227" s="311"/>
      <c r="D227" s="311"/>
      <c r="E227" s="50"/>
      <c r="F227" s="37"/>
      <c r="G227" s="38"/>
      <c r="H227" s="37"/>
      <c r="I227" s="37"/>
      <c r="J227" s="37"/>
      <c r="K227" s="37"/>
      <c r="L227" s="37"/>
      <c r="M227" s="44"/>
      <c r="N227" s="51"/>
      <c r="O227" s="44"/>
      <c r="P227" s="53"/>
      <c r="Q227" s="53"/>
      <c r="R227" s="53"/>
      <c r="S227" s="44"/>
      <c r="T227" s="44"/>
      <c r="U227" s="44"/>
      <c r="V227" s="44"/>
      <c r="W227" s="44"/>
      <c r="X227" s="44"/>
    </row>
    <row r="228" spans="2:28">
      <c r="B228" s="8"/>
      <c r="C228" s="311"/>
      <c r="D228" s="311"/>
      <c r="E228" s="54"/>
      <c r="F228" s="39"/>
      <c r="G228" s="39"/>
      <c r="H228" s="37"/>
      <c r="I228" s="37"/>
      <c r="J228" s="37"/>
      <c r="K228" s="37"/>
      <c r="L228" s="37"/>
      <c r="M228" s="44"/>
      <c r="N228" s="51"/>
      <c r="O228" s="44"/>
      <c r="P228" s="53"/>
      <c r="Q228" s="53"/>
      <c r="R228" s="53"/>
      <c r="S228" s="44"/>
      <c r="T228" s="44"/>
      <c r="U228" s="44"/>
      <c r="V228" s="44"/>
      <c r="W228" s="44"/>
      <c r="X228" s="44"/>
    </row>
    <row r="229" spans="2:28">
      <c r="B229" s="8"/>
      <c r="C229" s="311"/>
      <c r="D229" s="311"/>
      <c r="E229" s="43"/>
      <c r="F229" s="37"/>
      <c r="G229" s="37"/>
      <c r="H229" s="37"/>
      <c r="I229" s="37"/>
      <c r="J229" s="37"/>
      <c r="K229" s="37"/>
      <c r="L229" s="37"/>
      <c r="M229" s="44"/>
      <c r="N229" s="51"/>
      <c r="O229" s="44"/>
      <c r="P229" s="53"/>
      <c r="Q229" s="53"/>
      <c r="R229" s="53"/>
      <c r="S229" s="44"/>
      <c r="T229" s="44"/>
      <c r="U229" s="44"/>
      <c r="V229" s="44"/>
      <c r="W229" s="44"/>
      <c r="X229" s="44"/>
    </row>
    <row r="230" spans="2:28">
      <c r="B230" s="539"/>
      <c r="C230" s="539"/>
      <c r="D230" s="539"/>
      <c r="E230" s="539"/>
      <c r="F230" s="539"/>
      <c r="G230" s="539"/>
      <c r="H230" s="37"/>
      <c r="I230" s="37"/>
      <c r="J230" s="37"/>
      <c r="K230" s="37"/>
      <c r="L230" s="37"/>
      <c r="M230" s="44"/>
      <c r="N230" s="51"/>
      <c r="O230" s="44"/>
      <c r="P230" s="47"/>
      <c r="Q230" s="180"/>
      <c r="R230" s="180"/>
      <c r="S230" s="44"/>
      <c r="T230" s="44"/>
      <c r="U230" s="44"/>
      <c r="V230" s="44"/>
      <c r="W230" s="44"/>
      <c r="X230" s="44"/>
    </row>
    <row r="231" spans="2:28">
      <c r="B231" s="8"/>
      <c r="C231" s="311"/>
      <c r="D231" s="311"/>
      <c r="E231" s="43"/>
      <c r="F231" s="37"/>
      <c r="G231" s="37"/>
      <c r="H231" s="37"/>
      <c r="I231" s="37"/>
      <c r="J231" s="37"/>
      <c r="K231" s="37"/>
      <c r="L231" s="37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</row>
    <row r="232" spans="2:28">
      <c r="B232" s="8"/>
      <c r="C232" s="311"/>
      <c r="D232" s="311"/>
      <c r="E232" s="43"/>
      <c r="F232" s="37"/>
      <c r="G232" s="37"/>
      <c r="H232" s="37"/>
      <c r="I232" s="37"/>
      <c r="J232" s="37"/>
      <c r="K232" s="37"/>
      <c r="L232" s="37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</row>
    <row r="233" spans="2:28">
      <c r="B233" s="8"/>
      <c r="C233" s="311"/>
      <c r="D233" s="311"/>
      <c r="E233" s="43"/>
      <c r="F233" s="37"/>
      <c r="G233" s="37"/>
      <c r="H233" s="37"/>
      <c r="I233" s="37"/>
      <c r="J233" s="37"/>
      <c r="K233" s="37"/>
      <c r="L233" s="37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</row>
    <row r="234" spans="2:28">
      <c r="B234" s="8"/>
      <c r="C234" s="311"/>
      <c r="D234" s="311"/>
      <c r="E234" s="63"/>
      <c r="F234" s="38"/>
      <c r="G234" s="38"/>
      <c r="H234" s="37"/>
      <c r="I234" s="37"/>
      <c r="J234" s="37"/>
      <c r="K234" s="37"/>
      <c r="L234" s="37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</row>
    <row r="235" spans="2:28">
      <c r="B235" s="8"/>
      <c r="C235" s="311"/>
      <c r="D235" s="311"/>
      <c r="E235" s="50"/>
      <c r="F235" s="38"/>
      <c r="G235" s="38"/>
      <c r="H235" s="37"/>
      <c r="I235" s="37"/>
      <c r="J235" s="37"/>
      <c r="K235" s="37"/>
      <c r="L235" s="37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</row>
    <row r="236" spans="2:28">
      <c r="B236" s="8"/>
      <c r="C236" s="311"/>
      <c r="D236" s="311"/>
      <c r="E236" s="43"/>
      <c r="F236" s="37"/>
      <c r="G236" s="37"/>
      <c r="H236" s="37"/>
      <c r="I236" s="37"/>
      <c r="J236" s="37"/>
      <c r="K236" s="37"/>
      <c r="L236" s="37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</row>
    <row r="237" spans="2:28">
      <c r="B237" s="8"/>
      <c r="C237" s="311"/>
      <c r="D237" s="311"/>
      <c r="E237" s="43"/>
      <c r="F237" s="37"/>
      <c r="G237" s="37"/>
      <c r="H237" s="37"/>
      <c r="I237" s="37"/>
      <c r="J237" s="37"/>
      <c r="K237" s="37"/>
      <c r="L237" s="37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</row>
    <row r="238" spans="2:28">
      <c r="B238" s="8"/>
      <c r="C238" s="311"/>
      <c r="D238" s="311"/>
      <c r="E238" s="43"/>
      <c r="F238" s="37"/>
      <c r="G238" s="37"/>
      <c r="H238" s="37"/>
      <c r="I238" s="37"/>
      <c r="J238" s="37"/>
      <c r="K238" s="37"/>
      <c r="L238" s="37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</row>
    <row r="239" spans="2:28">
      <c r="B239" s="8"/>
      <c r="C239" s="311"/>
      <c r="D239" s="311"/>
      <c r="E239" s="43"/>
      <c r="F239" s="37"/>
      <c r="G239" s="37"/>
      <c r="H239" s="38"/>
      <c r="I239" s="38"/>
      <c r="J239" s="38"/>
      <c r="K239" s="38"/>
      <c r="L239" s="38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</row>
    <row r="240" spans="2:28">
      <c r="B240" s="8"/>
      <c r="C240" s="311"/>
      <c r="D240" s="311"/>
      <c r="E240" s="43"/>
      <c r="F240" s="37"/>
      <c r="G240" s="37"/>
      <c r="H240" s="37"/>
      <c r="I240" s="37"/>
      <c r="J240" s="37"/>
      <c r="K240" s="37"/>
      <c r="L240" s="37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</row>
    <row r="241" spans="2:24">
      <c r="B241" s="8"/>
      <c r="C241" s="311"/>
      <c r="D241" s="311"/>
      <c r="E241" s="43"/>
      <c r="F241" s="37"/>
      <c r="G241" s="37"/>
      <c r="H241" s="37"/>
      <c r="I241" s="37"/>
      <c r="J241" s="37"/>
      <c r="K241" s="37"/>
      <c r="L241" s="37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</row>
    <row r="242" spans="2:24">
      <c r="B242" s="8"/>
      <c r="C242" s="311"/>
      <c r="D242" s="311"/>
      <c r="E242" s="43"/>
      <c r="F242" s="37"/>
      <c r="G242" s="37"/>
      <c r="H242" s="37"/>
      <c r="I242" s="37"/>
      <c r="J242" s="37"/>
      <c r="K242" s="37"/>
      <c r="L242" s="37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</row>
    <row r="243" spans="2:24">
      <c r="B243" s="8"/>
      <c r="C243" s="311"/>
      <c r="D243" s="311"/>
      <c r="E243" s="43"/>
      <c r="F243" s="37"/>
      <c r="G243" s="37"/>
      <c r="H243" s="37"/>
      <c r="I243" s="37"/>
      <c r="J243" s="37"/>
      <c r="K243" s="37"/>
      <c r="L243" s="37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</row>
    <row r="244" spans="2:24">
      <c r="B244" s="8"/>
      <c r="C244" s="311"/>
      <c r="D244" s="311"/>
      <c r="E244" s="50"/>
      <c r="F244" s="37"/>
      <c r="G244" s="38"/>
      <c r="H244" s="37"/>
      <c r="I244" s="37"/>
      <c r="J244" s="37"/>
      <c r="K244" s="37"/>
      <c r="L244" s="37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</row>
    <row r="245" spans="2:24">
      <c r="B245" s="8"/>
      <c r="C245" s="311"/>
      <c r="D245" s="311"/>
      <c r="E245" s="54"/>
      <c r="F245" s="39"/>
      <c r="G245" s="39"/>
      <c r="H245" s="37"/>
      <c r="I245" s="37"/>
      <c r="J245" s="37"/>
      <c r="K245" s="37"/>
      <c r="L245" s="37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</row>
    <row r="246" spans="2:24">
      <c r="B246" s="8"/>
      <c r="C246" s="311"/>
      <c r="D246" s="311"/>
      <c r="E246" s="43"/>
      <c r="F246" s="37"/>
      <c r="G246" s="37"/>
      <c r="H246" s="37"/>
      <c r="I246" s="37"/>
      <c r="J246" s="37"/>
      <c r="K246" s="37"/>
      <c r="L246" s="37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</row>
    <row r="247" spans="2:24">
      <c r="B247" s="44"/>
      <c r="C247" s="44"/>
      <c r="D247" s="44"/>
      <c r="E247" s="43"/>
      <c r="F247" s="37"/>
      <c r="G247" s="37"/>
      <c r="H247" s="37"/>
      <c r="I247" s="37"/>
      <c r="J247" s="37"/>
      <c r="K247" s="37"/>
      <c r="L247" s="37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</row>
    <row r="248" spans="2:24">
      <c r="B248" s="64"/>
      <c r="C248" s="64"/>
      <c r="D248" s="64"/>
      <c r="E248" s="43"/>
      <c r="F248" s="37"/>
      <c r="G248" s="37"/>
      <c r="H248" s="37"/>
      <c r="I248" s="37"/>
      <c r="J248" s="37"/>
      <c r="K248" s="37"/>
      <c r="L248" s="37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</row>
    <row r="249" spans="2:24">
      <c r="B249" s="62"/>
      <c r="C249" s="62"/>
      <c r="D249" s="62"/>
      <c r="E249" s="43"/>
      <c r="F249" s="37"/>
      <c r="G249" s="37"/>
      <c r="H249" s="37"/>
      <c r="I249" s="37"/>
      <c r="J249" s="37"/>
      <c r="K249" s="37"/>
      <c r="L249" s="37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</row>
    <row r="250" spans="2:24">
      <c r="B250" s="62"/>
      <c r="C250" s="62"/>
      <c r="D250" s="62"/>
      <c r="E250" s="43"/>
      <c r="F250" s="37"/>
      <c r="G250" s="37"/>
      <c r="H250" s="37"/>
      <c r="I250" s="37"/>
      <c r="J250" s="37"/>
      <c r="K250" s="37"/>
      <c r="L250" s="37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</row>
    <row r="251" spans="2:24">
      <c r="B251" s="62"/>
      <c r="C251" s="62"/>
      <c r="D251" s="62"/>
      <c r="E251" s="43"/>
      <c r="F251" s="37"/>
      <c r="G251" s="37"/>
      <c r="H251" s="37"/>
      <c r="I251" s="37"/>
      <c r="J251" s="37"/>
      <c r="K251" s="37"/>
      <c r="L251" s="37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</row>
    <row r="252" spans="2:24">
      <c r="B252" s="65"/>
      <c r="C252" s="65"/>
      <c r="D252" s="65"/>
      <c r="E252" s="64"/>
      <c r="F252" s="38"/>
      <c r="G252" s="37"/>
      <c r="H252" s="37"/>
      <c r="I252" s="37"/>
      <c r="J252" s="37"/>
      <c r="K252" s="37"/>
      <c r="L252" s="37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</row>
    <row r="253" spans="2:24">
      <c r="B253" s="62"/>
      <c r="C253" s="62"/>
      <c r="D253" s="62"/>
      <c r="E253" s="43"/>
      <c r="F253" s="44"/>
      <c r="G253" s="37"/>
      <c r="H253" s="37"/>
      <c r="I253" s="37"/>
      <c r="J253" s="37"/>
      <c r="K253" s="37"/>
      <c r="L253" s="37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</row>
    <row r="254" spans="2:24">
      <c r="B254" s="62"/>
      <c r="C254" s="62"/>
      <c r="D254" s="62"/>
      <c r="E254" s="43"/>
      <c r="F254" s="44"/>
      <c r="G254" s="37"/>
      <c r="H254" s="37"/>
      <c r="I254" s="37"/>
      <c r="J254" s="37"/>
      <c r="K254" s="37"/>
      <c r="L254" s="37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</row>
    <row r="255" spans="2:24">
      <c r="B255" s="62"/>
      <c r="C255" s="62"/>
      <c r="D255" s="62"/>
      <c r="E255" s="43"/>
      <c r="F255" s="44"/>
      <c r="G255" s="37"/>
      <c r="H255" s="37"/>
      <c r="I255" s="37"/>
      <c r="J255" s="37"/>
      <c r="K255" s="37"/>
      <c r="L255" s="37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</row>
    <row r="256" spans="2:24">
      <c r="B256" s="62"/>
      <c r="C256" s="62"/>
      <c r="D256" s="62"/>
      <c r="E256" s="43"/>
      <c r="F256" s="44"/>
      <c r="G256" s="37"/>
      <c r="H256" s="37"/>
      <c r="I256" s="37"/>
      <c r="J256" s="37"/>
      <c r="K256" s="37"/>
      <c r="L256" s="37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</row>
    <row r="257" spans="2:24">
      <c r="B257" s="62"/>
      <c r="C257" s="62"/>
      <c r="D257" s="62"/>
      <c r="E257" s="43"/>
      <c r="F257" s="44"/>
      <c r="G257" s="37"/>
      <c r="H257" s="37"/>
      <c r="I257" s="37"/>
      <c r="J257" s="37"/>
      <c r="K257" s="37"/>
      <c r="L257" s="37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</row>
    <row r="258" spans="2:24">
      <c r="B258" s="62"/>
      <c r="C258" s="62"/>
      <c r="D258" s="62"/>
      <c r="E258" s="43"/>
      <c r="F258" s="44"/>
      <c r="G258" s="37"/>
      <c r="H258" s="37"/>
      <c r="I258" s="37"/>
      <c r="J258" s="37"/>
      <c r="K258" s="37"/>
      <c r="L258" s="37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</row>
    <row r="259" spans="2:24">
      <c r="B259" s="62"/>
      <c r="C259" s="62"/>
      <c r="D259" s="62"/>
      <c r="E259" s="43"/>
      <c r="F259" s="44"/>
      <c r="G259" s="37"/>
      <c r="H259" s="37"/>
      <c r="I259" s="37"/>
      <c r="J259" s="37"/>
      <c r="K259" s="37"/>
      <c r="L259" s="37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</row>
    <row r="260" spans="2:24">
      <c r="B260" s="62"/>
      <c r="C260" s="62"/>
      <c r="D260" s="62"/>
      <c r="E260" s="43"/>
      <c r="F260" s="44"/>
      <c r="G260" s="37"/>
      <c r="H260" s="37"/>
      <c r="I260" s="37"/>
      <c r="J260" s="37"/>
      <c r="K260" s="37"/>
      <c r="L260" s="37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</row>
    <row r="261" spans="2:24">
      <c r="B261" s="66"/>
      <c r="C261" s="66"/>
      <c r="D261" s="66"/>
      <c r="E261" s="64"/>
      <c r="F261" s="44"/>
      <c r="G261" s="38"/>
      <c r="H261" s="37"/>
      <c r="I261" s="37"/>
      <c r="J261" s="37"/>
      <c r="K261" s="37"/>
      <c r="L261" s="37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</row>
    <row r="262" spans="2:24">
      <c r="B262" s="67"/>
      <c r="C262" s="67"/>
      <c r="D262" s="67"/>
      <c r="E262" s="68"/>
      <c r="F262" s="69"/>
      <c r="G262" s="37"/>
      <c r="H262" s="37"/>
      <c r="I262" s="37"/>
      <c r="J262" s="37"/>
      <c r="K262" s="37"/>
      <c r="L262" s="37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</row>
    <row r="263" spans="2:24">
      <c r="B263" s="62"/>
      <c r="C263" s="62"/>
      <c r="D263" s="62"/>
      <c r="E263" s="43"/>
      <c r="F263" s="37"/>
      <c r="G263" s="37"/>
      <c r="H263" s="37"/>
      <c r="I263" s="37"/>
      <c r="J263" s="37"/>
      <c r="K263" s="37"/>
      <c r="L263" s="37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</row>
    <row r="264" spans="2:24">
      <c r="B264" s="44"/>
      <c r="C264" s="44"/>
      <c r="D264" s="44"/>
      <c r="E264" s="43"/>
      <c r="F264" s="37"/>
      <c r="G264" s="37"/>
      <c r="H264" s="37"/>
      <c r="I264" s="37"/>
      <c r="J264" s="37"/>
      <c r="K264" s="37"/>
      <c r="L264" s="37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</row>
    <row r="265" spans="2:24">
      <c r="B265" s="44"/>
      <c r="C265" s="44"/>
      <c r="D265" s="44"/>
      <c r="E265" s="43"/>
      <c r="F265" s="37"/>
      <c r="G265" s="37"/>
      <c r="H265" s="37"/>
      <c r="I265" s="37"/>
      <c r="J265" s="37"/>
      <c r="K265" s="37"/>
      <c r="L265" s="37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</row>
    <row r="266" spans="2:24">
      <c r="B266" s="44"/>
      <c r="C266" s="44"/>
      <c r="D266" s="44"/>
      <c r="E266" s="43"/>
      <c r="F266" s="37"/>
      <c r="G266" s="37"/>
      <c r="H266" s="37"/>
      <c r="I266" s="37"/>
      <c r="J266" s="37"/>
      <c r="K266" s="37"/>
      <c r="L266" s="37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</row>
    <row r="267" spans="2:24">
      <c r="B267" s="44"/>
      <c r="C267" s="44"/>
      <c r="D267" s="44"/>
      <c r="E267" s="43"/>
      <c r="F267" s="37"/>
      <c r="G267" s="37"/>
      <c r="H267" s="37"/>
      <c r="I267" s="37"/>
      <c r="J267" s="37"/>
      <c r="K267" s="37"/>
      <c r="L267" s="37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</row>
    <row r="268" spans="2:24">
      <c r="B268" s="44"/>
      <c r="C268" s="44"/>
      <c r="D268" s="44"/>
      <c r="E268" s="43"/>
      <c r="F268" s="37"/>
      <c r="G268" s="37"/>
      <c r="H268" s="37"/>
      <c r="I268" s="37"/>
      <c r="J268" s="37"/>
      <c r="K268" s="37"/>
      <c r="L268" s="37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</row>
    <row r="269" spans="2:24">
      <c r="B269" s="44"/>
      <c r="C269" s="44"/>
      <c r="D269" s="44"/>
      <c r="E269" s="43"/>
      <c r="F269" s="37"/>
      <c r="G269" s="37"/>
      <c r="H269" s="37"/>
      <c r="I269" s="37"/>
      <c r="J269" s="37"/>
      <c r="K269" s="37"/>
      <c r="L269" s="37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</row>
    <row r="270" spans="2:24">
      <c r="B270" s="44"/>
      <c r="C270" s="44"/>
      <c r="D270" s="44"/>
      <c r="E270" s="43"/>
      <c r="F270" s="37"/>
      <c r="G270" s="37"/>
      <c r="H270" s="37"/>
      <c r="I270" s="37"/>
      <c r="J270" s="37"/>
      <c r="K270" s="37"/>
      <c r="L270" s="37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</row>
    <row r="271" spans="2:24">
      <c r="B271" s="44"/>
      <c r="C271" s="44"/>
      <c r="D271" s="44"/>
      <c r="E271" s="43"/>
      <c r="F271" s="37"/>
      <c r="G271" s="37"/>
      <c r="H271" s="37"/>
      <c r="I271" s="37"/>
      <c r="J271" s="37"/>
      <c r="K271" s="37"/>
      <c r="L271" s="37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</row>
    <row r="272" spans="2:24">
      <c r="B272" s="44"/>
      <c r="C272" s="44"/>
      <c r="D272" s="44"/>
      <c r="E272" s="43"/>
      <c r="F272" s="37"/>
      <c r="G272" s="37"/>
      <c r="H272" s="37"/>
      <c r="I272" s="37"/>
      <c r="J272" s="37"/>
      <c r="K272" s="37"/>
      <c r="L272" s="37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</row>
    <row r="273" spans="2:24">
      <c r="B273" s="44"/>
      <c r="C273" s="44"/>
      <c r="D273" s="44"/>
      <c r="E273" s="43"/>
      <c r="F273" s="37"/>
      <c r="G273" s="37"/>
      <c r="H273" s="37"/>
      <c r="I273" s="37"/>
      <c r="J273" s="37"/>
      <c r="K273" s="37"/>
      <c r="L273" s="37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</row>
    <row r="274" spans="2:24">
      <c r="B274" s="44"/>
      <c r="C274" s="44"/>
      <c r="D274" s="44"/>
      <c r="E274" s="43"/>
      <c r="F274" s="37"/>
      <c r="G274" s="37"/>
      <c r="H274" s="37"/>
      <c r="I274" s="37"/>
      <c r="J274" s="37"/>
      <c r="K274" s="37"/>
      <c r="L274" s="37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</row>
    <row r="275" spans="2:24">
      <c r="B275" s="44"/>
      <c r="C275" s="44"/>
      <c r="D275" s="44"/>
      <c r="E275" s="43"/>
      <c r="F275" s="37"/>
      <c r="G275" s="37"/>
      <c r="H275" s="37"/>
      <c r="I275" s="37"/>
      <c r="J275" s="37"/>
      <c r="K275" s="37"/>
      <c r="L275" s="37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</row>
    <row r="276" spans="2:24">
      <c r="B276" s="44"/>
      <c r="C276" s="44"/>
      <c r="D276" s="44"/>
      <c r="E276" s="43"/>
      <c r="F276" s="37"/>
      <c r="G276" s="37"/>
      <c r="H276" s="37"/>
      <c r="I276" s="37"/>
      <c r="J276" s="37"/>
      <c r="K276" s="37"/>
      <c r="L276" s="37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</row>
  </sheetData>
  <autoFilter ref="B6:AB19" xr:uid="{00000000-0009-0000-0000-000000000000}"/>
  <dataConsolidate function="var"/>
  <customSheetViews>
    <customSheetView guid="{7968DD20-63CB-4265-B979-BFF7124CEC21}" scale="120" showGridLines="0" showAutoFilter="1">
      <pane xSplit="3" ySplit="2" topLeftCell="D3" activePane="bottomRight" state="frozenSplit"/>
      <selection pane="bottomRight" activeCell="I23" sqref="I23"/>
      <pageMargins left="0.511811024" right="0.511811024" top="0.78740157499999996" bottom="0.78740157499999996" header="0.31496062000000002" footer="0.31496062000000002"/>
      <autoFilter ref="B2:E196" xr:uid="{00000000-0000-0000-0000-000000000000}"/>
    </customSheetView>
  </customSheetViews>
  <mergeCells count="18">
    <mergeCell ref="X4:Z4"/>
    <mergeCell ref="N43:O43"/>
    <mergeCell ref="H4:R4"/>
    <mergeCell ref="T4:U4"/>
    <mergeCell ref="V4:W4"/>
    <mergeCell ref="B52:G52"/>
    <mergeCell ref="B69:G69"/>
    <mergeCell ref="B1:G1"/>
    <mergeCell ref="B176:G176"/>
    <mergeCell ref="B192:G192"/>
    <mergeCell ref="C4:G4"/>
    <mergeCell ref="B211:G211"/>
    <mergeCell ref="B230:G230"/>
    <mergeCell ref="B89:G89"/>
    <mergeCell ref="B125:G125"/>
    <mergeCell ref="B144:G144"/>
    <mergeCell ref="B160:G160"/>
    <mergeCell ref="B109:G109"/>
  </mergeCells>
  <conditionalFormatting sqref="F7:F18">
    <cfRule type="expression" dxfId="37" priority="2">
      <formula>"$U$23&lt;$U$24"</formula>
    </cfRule>
  </conditionalFormatting>
  <conditionalFormatting sqref="F7">
    <cfRule type="expression" dxfId="36" priority="1">
      <formula>"$U$23&lt;$U$24"</formula>
    </cfRule>
  </conditionalFormatting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FFFF00"/>
    <outlinePr summaryBelow="0"/>
    <pageSetUpPr fitToPage="1"/>
  </sheetPr>
  <dimension ref="A1:AK201"/>
  <sheetViews>
    <sheetView showGridLines="0" zoomScale="120" zoomScaleNormal="120" zoomScaleSheetLayoutView="115" zoomScalePageLayoutView="120" workbookViewId="0">
      <pane xSplit="3" ySplit="12" topLeftCell="I13" activePane="bottomRight" state="frozen"/>
      <selection pane="topRight" activeCell="C1" sqref="C1"/>
      <selection pane="bottomLeft" activeCell="A10" sqref="A10"/>
      <selection pane="bottomRight" activeCell="C20" sqref="C20"/>
    </sheetView>
  </sheetViews>
  <sheetFormatPr baseColWidth="10" defaultColWidth="9.1640625" defaultRowHeight="14" outlineLevelRow="1" outlineLevelCol="1"/>
  <cols>
    <col min="1" max="1" width="0.83203125" style="7" customWidth="1"/>
    <col min="2" max="2" width="1" style="1" customWidth="1"/>
    <col min="3" max="3" width="24.83203125" style="1" customWidth="1"/>
    <col min="4" max="4" width="12.1640625" style="1" hidden="1" customWidth="1" outlineLevel="1"/>
    <col min="5" max="5" width="12.83203125" style="1" customWidth="1" collapsed="1"/>
    <col min="6" max="6" width="10.5" style="1" hidden="1" customWidth="1" outlineLevel="1"/>
    <col min="7" max="7" width="12.83203125" style="1" customWidth="1" collapsed="1"/>
    <col min="8" max="8" width="11.5" style="1" hidden="1" customWidth="1" outlineLevel="1"/>
    <col min="9" max="9" width="12.83203125" style="1" customWidth="1" collapsed="1"/>
    <col min="10" max="10" width="11.83203125" style="1" hidden="1" customWidth="1" outlineLevel="1"/>
    <col min="11" max="11" width="12.83203125" style="1" customWidth="1" collapsed="1"/>
    <col min="12" max="12" width="10.5" style="1" hidden="1" customWidth="1" outlineLevel="1"/>
    <col min="13" max="13" width="12.83203125" style="2" customWidth="1" collapsed="1"/>
    <col min="14" max="14" width="10.5" style="2" hidden="1" customWidth="1" outlineLevel="1"/>
    <col min="15" max="15" width="12.83203125" style="1" customWidth="1" collapsed="1"/>
    <col min="16" max="16" width="10.5" style="1" hidden="1" customWidth="1" outlineLevel="1"/>
    <col min="17" max="17" width="12.83203125" style="1" customWidth="1" collapsed="1"/>
    <col min="18" max="18" width="12" style="1" hidden="1" customWidth="1" outlineLevel="1"/>
    <col min="19" max="19" width="12.83203125" style="1" customWidth="1" collapsed="1"/>
    <col min="20" max="20" width="12" style="1" hidden="1" customWidth="1" outlineLevel="1"/>
    <col min="21" max="21" width="12.83203125" style="1" customWidth="1" collapsed="1"/>
    <col min="22" max="22" width="12.83203125" style="1" hidden="1" customWidth="1" outlineLevel="1"/>
    <col min="23" max="23" width="12.83203125" style="1" customWidth="1" collapsed="1"/>
    <col min="24" max="24" width="12.5" style="1" hidden="1" customWidth="1" outlineLevel="1"/>
    <col min="25" max="25" width="12.83203125" style="1" customWidth="1" collapsed="1"/>
    <col min="26" max="26" width="12.5" style="1" customWidth="1" outlineLevel="1"/>
    <col min="27" max="27" width="12.83203125" style="1" customWidth="1"/>
    <col min="28" max="28" width="1" style="1" customWidth="1"/>
    <col min="29" max="29" width="0.83203125" style="7" customWidth="1"/>
    <col min="30" max="30" width="1.5" style="7" customWidth="1"/>
    <col min="31" max="31" width="13.6640625" style="2" bestFit="1" customWidth="1"/>
    <col min="32" max="32" width="12.5" style="1" bestFit="1" customWidth="1"/>
    <col min="33" max="36" width="9.1640625" style="7"/>
    <col min="37" max="37" width="13.5" style="7" bestFit="1" customWidth="1"/>
    <col min="38" max="16384" width="9.1640625" style="7"/>
  </cols>
  <sheetData>
    <row r="1" spans="1:37">
      <c r="B1" s="7"/>
      <c r="C1" s="7"/>
      <c r="D1" s="7"/>
      <c r="E1" s="7"/>
      <c r="F1" s="7"/>
      <c r="G1" s="455"/>
      <c r="H1" s="7"/>
      <c r="I1" s="7"/>
      <c r="J1" s="7"/>
      <c r="K1" s="7"/>
      <c r="L1" s="7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E1" s="6"/>
      <c r="AF1" s="7"/>
    </row>
    <row r="2" spans="1:37" ht="16.5" customHeight="1">
      <c r="B2" s="7"/>
      <c r="C2" s="305" t="s">
        <v>118</v>
      </c>
      <c r="D2" s="309"/>
      <c r="E2" s="309"/>
      <c r="F2" s="309"/>
      <c r="G2" s="309"/>
      <c r="H2" s="309"/>
      <c r="I2" s="309"/>
      <c r="J2" s="309"/>
      <c r="K2" s="309"/>
      <c r="L2" s="309"/>
      <c r="M2" s="310"/>
      <c r="N2" s="310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10"/>
      <c r="AF2" s="309"/>
    </row>
    <row r="3" spans="1:37" ht="16.5" customHeight="1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6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E3" s="6"/>
      <c r="AF3" s="7"/>
    </row>
    <row r="4" spans="1:37" ht="4.5" customHeight="1">
      <c r="A4" s="134"/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5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E4" s="6"/>
      <c r="AF4" s="7"/>
    </row>
    <row r="5" spans="1:37" ht="6.5" customHeight="1" thickBot="1">
      <c r="A5" s="134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6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134"/>
      <c r="AE5" s="6"/>
      <c r="AF5" s="7"/>
    </row>
    <row r="6" spans="1:37" s="108" customFormat="1" ht="17" thickBot="1">
      <c r="A6" s="136"/>
      <c r="C6" s="127" t="s">
        <v>21</v>
      </c>
      <c r="D6" s="559" t="s">
        <v>4</v>
      </c>
      <c r="E6" s="560"/>
      <c r="F6" s="559" t="s">
        <v>5</v>
      </c>
      <c r="G6" s="560"/>
      <c r="H6" s="559" t="s">
        <v>6</v>
      </c>
      <c r="I6" s="560"/>
      <c r="J6" s="559" t="s">
        <v>7</v>
      </c>
      <c r="K6" s="560"/>
      <c r="L6" s="559" t="s">
        <v>8</v>
      </c>
      <c r="M6" s="560"/>
      <c r="N6" s="559" t="s">
        <v>9</v>
      </c>
      <c r="O6" s="560"/>
      <c r="P6" s="559" t="s">
        <v>10</v>
      </c>
      <c r="Q6" s="560"/>
      <c r="R6" s="559" t="s">
        <v>11</v>
      </c>
      <c r="S6" s="560"/>
      <c r="T6" s="559" t="s">
        <v>12</v>
      </c>
      <c r="U6" s="560"/>
      <c r="V6" s="559" t="s">
        <v>13</v>
      </c>
      <c r="W6" s="560"/>
      <c r="X6" s="559" t="s">
        <v>14</v>
      </c>
      <c r="Y6" s="560"/>
      <c r="Z6" s="559" t="s">
        <v>15</v>
      </c>
      <c r="AA6" s="560"/>
      <c r="AC6" s="136"/>
      <c r="AE6" s="561" t="s">
        <v>24</v>
      </c>
      <c r="AF6" s="562"/>
      <c r="AK6" s="169"/>
    </row>
    <row r="7" spans="1:37" ht="3.75" customHeight="1" thickBot="1">
      <c r="A7" s="134"/>
      <c r="B7" s="7"/>
      <c r="C7" s="7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7"/>
      <c r="AC7" s="134"/>
      <c r="AE7" s="112"/>
      <c r="AF7" s="112"/>
    </row>
    <row r="8" spans="1:37" ht="15.75" customHeight="1" thickBot="1">
      <c r="A8" s="134"/>
      <c r="B8" s="6"/>
      <c r="C8" s="144" t="s">
        <v>79</v>
      </c>
      <c r="D8" s="566">
        <f>LiquidoJaneiro</f>
        <v>0</v>
      </c>
      <c r="E8" s="566"/>
      <c r="F8" s="566">
        <f>LiquidoFevereiro</f>
        <v>0</v>
      </c>
      <c r="G8" s="566"/>
      <c r="H8" s="566">
        <f>LiquidoMarco</f>
        <v>0</v>
      </c>
      <c r="I8" s="566"/>
      <c r="J8" s="566">
        <f>LiquidoAbril</f>
        <v>0</v>
      </c>
      <c r="K8" s="566"/>
      <c r="L8" s="566">
        <f>LiquidoMaio</f>
        <v>0</v>
      </c>
      <c r="M8" s="566"/>
      <c r="N8" s="566">
        <f>LiquidoJunho</f>
        <v>0</v>
      </c>
      <c r="O8" s="566"/>
      <c r="P8" s="566">
        <f>LiquidoJulho</f>
        <v>0</v>
      </c>
      <c r="Q8" s="566"/>
      <c r="R8" s="566">
        <f>LiquidoAgosto</f>
        <v>0</v>
      </c>
      <c r="S8" s="566"/>
      <c r="T8" s="566">
        <f>LiquidoSetembro</f>
        <v>0</v>
      </c>
      <c r="U8" s="566"/>
      <c r="V8" s="566">
        <f>LiquidoOutubro</f>
        <v>0</v>
      </c>
      <c r="W8" s="566"/>
      <c r="X8" s="566">
        <f>LiquidoNovembro</f>
        <v>0</v>
      </c>
      <c r="Y8" s="566"/>
      <c r="Z8" s="566">
        <f>LiquidoDezembro</f>
        <v>0</v>
      </c>
      <c r="AA8" s="566"/>
      <c r="AB8" s="6"/>
      <c r="AC8" s="134"/>
      <c r="AE8" s="563">
        <f>N8</f>
        <v>0</v>
      </c>
      <c r="AF8" s="564"/>
    </row>
    <row r="9" spans="1:37" ht="3.75" customHeight="1" thickBot="1">
      <c r="A9" s="134"/>
      <c r="B9" s="7"/>
      <c r="C9" s="7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7"/>
      <c r="AC9" s="134"/>
      <c r="AE9" s="112"/>
      <c r="AF9" s="112"/>
    </row>
    <row r="10" spans="1:37" ht="15.75" customHeight="1" thickBot="1">
      <c r="A10" s="134"/>
      <c r="B10" s="6"/>
      <c r="C10" s="149" t="s">
        <v>80</v>
      </c>
      <c r="D10" s="569">
        <f>'PROVENTOS&amp;DESCONTOS'!$T7</f>
        <v>0</v>
      </c>
      <c r="E10" s="569"/>
      <c r="F10" s="569">
        <f>'PROVENTOS&amp;DESCONTOS'!$T8</f>
        <v>0</v>
      </c>
      <c r="G10" s="569"/>
      <c r="H10" s="569">
        <f>'PROVENTOS&amp;DESCONTOS'!$T9</f>
        <v>0</v>
      </c>
      <c r="I10" s="569"/>
      <c r="J10" s="569">
        <f>'PROVENTOS&amp;DESCONTOS'!T10</f>
        <v>0</v>
      </c>
      <c r="K10" s="569"/>
      <c r="L10" s="569">
        <f>'PROVENTOS&amp;DESCONTOS'!T11</f>
        <v>0</v>
      </c>
      <c r="M10" s="569"/>
      <c r="N10" s="569">
        <f>'PROVENTOS&amp;DESCONTOS'!T12</f>
        <v>0</v>
      </c>
      <c r="O10" s="569"/>
      <c r="P10" s="569">
        <f>'PROVENTOS&amp;DESCONTOS'!T13</f>
        <v>0</v>
      </c>
      <c r="Q10" s="569"/>
      <c r="R10" s="569">
        <f>'PROVENTOS&amp;DESCONTOS'!T14</f>
        <v>0</v>
      </c>
      <c r="S10" s="569"/>
      <c r="T10" s="570">
        <f>'PROVENTOS&amp;DESCONTOS'!T15</f>
        <v>0</v>
      </c>
      <c r="U10" s="571"/>
      <c r="V10" s="570">
        <f>'PROVENTOS&amp;DESCONTOS'!T16</f>
        <v>0</v>
      </c>
      <c r="W10" s="571"/>
      <c r="X10" s="570">
        <f>'PROVENTOS&amp;DESCONTOS'!T17</f>
        <v>0</v>
      </c>
      <c r="Y10" s="571"/>
      <c r="Z10" s="570">
        <f>'PROVENTOS&amp;DESCONTOS'!T18</f>
        <v>0</v>
      </c>
      <c r="AA10" s="571"/>
      <c r="AB10" s="6"/>
      <c r="AC10" s="134"/>
      <c r="AE10" s="567"/>
      <c r="AF10" s="568"/>
    </row>
    <row r="11" spans="1:37" ht="3.75" customHeight="1" thickBot="1">
      <c r="A11" s="134"/>
      <c r="B11" s="7"/>
      <c r="C11" s="7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7"/>
      <c r="AC11" s="134"/>
      <c r="AE11" s="112"/>
      <c r="AF11" s="112"/>
    </row>
    <row r="12" spans="1:37" s="6" customFormat="1" ht="25.5" customHeight="1" thickBot="1">
      <c r="A12" s="135"/>
      <c r="C12" s="146" t="s">
        <v>1</v>
      </c>
      <c r="D12" s="147" t="s">
        <v>2</v>
      </c>
      <c r="E12" s="147" t="s">
        <v>3</v>
      </c>
      <c r="F12" s="147" t="s">
        <v>2</v>
      </c>
      <c r="G12" s="147" t="s">
        <v>3</v>
      </c>
      <c r="H12" s="150" t="s">
        <v>2</v>
      </c>
      <c r="I12" s="148" t="s">
        <v>3</v>
      </c>
      <c r="J12" s="150" t="s">
        <v>2</v>
      </c>
      <c r="K12" s="148" t="s">
        <v>3</v>
      </c>
      <c r="L12" s="150" t="s">
        <v>2</v>
      </c>
      <c r="M12" s="148" t="s">
        <v>3</v>
      </c>
      <c r="N12" s="150" t="s">
        <v>2</v>
      </c>
      <c r="O12" s="148" t="s">
        <v>3</v>
      </c>
      <c r="P12" s="150" t="s">
        <v>2</v>
      </c>
      <c r="Q12" s="148" t="s">
        <v>3</v>
      </c>
      <c r="R12" s="150" t="s">
        <v>2</v>
      </c>
      <c r="S12" s="148" t="s">
        <v>3</v>
      </c>
      <c r="T12" s="150" t="s">
        <v>2</v>
      </c>
      <c r="U12" s="148" t="s">
        <v>3</v>
      </c>
      <c r="V12" s="150" t="s">
        <v>2</v>
      </c>
      <c r="W12" s="148" t="s">
        <v>3</v>
      </c>
      <c r="X12" s="150" t="s">
        <v>2</v>
      </c>
      <c r="Y12" s="148" t="s">
        <v>3</v>
      </c>
      <c r="Z12" s="150" t="s">
        <v>2</v>
      </c>
      <c r="AA12" s="148" t="s">
        <v>3</v>
      </c>
      <c r="AC12" s="135"/>
      <c r="AE12" s="113"/>
      <c r="AF12" s="114"/>
    </row>
    <row r="13" spans="1:37" s="107" customFormat="1" ht="2.25" customHeight="1" thickBot="1">
      <c r="A13" s="137"/>
      <c r="C13" s="145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C13" s="137"/>
      <c r="AE13" s="121"/>
      <c r="AF13" s="121"/>
    </row>
    <row r="14" spans="1:37" s="5" customFormat="1" ht="13" thickTop="1">
      <c r="A14" s="138"/>
      <c r="C14" s="156" t="s">
        <v>25</v>
      </c>
      <c r="D14" s="157">
        <f t="shared" ref="D14:AA14" si="0">SUM(D15:D35)</f>
        <v>0</v>
      </c>
      <c r="E14" s="158">
        <f t="shared" ca="1" si="0"/>
        <v>0</v>
      </c>
      <c r="F14" s="157">
        <f t="shared" si="0"/>
        <v>0</v>
      </c>
      <c r="G14" s="158" t="e">
        <f t="shared" ca="1" si="0"/>
        <v>#VALUE!</v>
      </c>
      <c r="H14" s="157">
        <f>SUM(H15:H35)</f>
        <v>6113.27</v>
      </c>
      <c r="I14" s="158" t="e">
        <f t="shared" ca="1" si="0"/>
        <v>#VALUE!</v>
      </c>
      <c r="J14" s="157">
        <f t="shared" si="0"/>
        <v>6009.27</v>
      </c>
      <c r="K14" s="158" t="e">
        <f t="shared" ca="1" si="0"/>
        <v>#VALUE!</v>
      </c>
      <c r="L14" s="157">
        <f t="shared" si="0"/>
        <v>5969.27</v>
      </c>
      <c r="M14" s="158" t="e">
        <f t="shared" ca="1" si="0"/>
        <v>#VALUE!</v>
      </c>
      <c r="N14" s="157">
        <f t="shared" si="0"/>
        <v>5078.2700000000004</v>
      </c>
      <c r="O14" s="158" t="e">
        <f ca="1">SUM(O15:O35)</f>
        <v>#VALUE!</v>
      </c>
      <c r="P14" s="157">
        <f t="shared" si="0"/>
        <v>5078.2700000000004</v>
      </c>
      <c r="Q14" s="158" t="e">
        <f ca="1">SUM(Q15:Q35)</f>
        <v>#VALUE!</v>
      </c>
      <c r="R14" s="157">
        <f t="shared" si="0"/>
        <v>5453.27</v>
      </c>
      <c r="S14" s="158" t="e">
        <f t="shared" ca="1" si="0"/>
        <v>#VALUE!</v>
      </c>
      <c r="T14" s="157">
        <f t="shared" si="0"/>
        <v>5453.27</v>
      </c>
      <c r="U14" s="158" t="e">
        <f t="shared" ca="1" si="0"/>
        <v>#VALUE!</v>
      </c>
      <c r="V14" s="157">
        <f t="shared" si="0"/>
        <v>5453.27</v>
      </c>
      <c r="W14" s="158" t="e">
        <f t="shared" ca="1" si="0"/>
        <v>#VALUE!</v>
      </c>
      <c r="X14" s="157">
        <f t="shared" si="0"/>
        <v>5078.2700000000004</v>
      </c>
      <c r="Y14" s="158" t="e">
        <f t="shared" ca="1" si="0"/>
        <v>#VALUE!</v>
      </c>
      <c r="Z14" s="157" t="e">
        <f t="shared" ca="1" si="0"/>
        <v>#VALUE!</v>
      </c>
      <c r="AA14" s="158" t="e">
        <f t="shared" ca="1" si="0"/>
        <v>#VALUE!</v>
      </c>
      <c r="AC14" s="138"/>
      <c r="AE14" s="139"/>
      <c r="AF14" s="140" t="e">
        <f ca="1">SUM(AF15:AF35)</f>
        <v>#VALUE!</v>
      </c>
    </row>
    <row r="15" spans="1:37" ht="12.75" customHeight="1" outlineLevel="1">
      <c r="A15" s="134"/>
      <c r="B15" s="6"/>
      <c r="C15" s="160" t="str">
        <f>Classificacao!F36</f>
        <v>Condomínio</v>
      </c>
      <c r="D15" s="151">
        <v>0</v>
      </c>
      <c r="E15" s="153">
        <f ca="1">somaCodigo(1,Classificacao!D36)</f>
        <v>0</v>
      </c>
      <c r="F15" s="151">
        <v>0</v>
      </c>
      <c r="G15" s="153" t="e">
        <f ca="1">somaCodigo(2,Classificacao!D36)</f>
        <v>#VALUE!</v>
      </c>
      <c r="H15" s="151">
        <v>470</v>
      </c>
      <c r="I15" s="153" t="e">
        <f ca="1">somaCodigo(3,Classificacao!D36)</f>
        <v>#VALUE!</v>
      </c>
      <c r="J15" s="151">
        <v>400</v>
      </c>
      <c r="K15" s="153" t="e">
        <f ca="1">somaCodigo(4,Classificacao!D36)</f>
        <v>#VALUE!</v>
      </c>
      <c r="L15" s="151">
        <v>400</v>
      </c>
      <c r="M15" s="153" t="e">
        <f ca="1">somaCodigo(5,Classificacao!D36)</f>
        <v>#VALUE!</v>
      </c>
      <c r="N15" s="151">
        <v>400</v>
      </c>
      <c r="O15" s="153" t="e">
        <f ca="1">somaCodigo(6,Classificacao!D36)</f>
        <v>#VALUE!</v>
      </c>
      <c r="P15" s="151">
        <v>400</v>
      </c>
      <c r="Q15" s="153" t="e">
        <f ca="1">somaCodigo(7,Classificacao!D36)</f>
        <v>#VALUE!</v>
      </c>
      <c r="R15" s="151">
        <v>400</v>
      </c>
      <c r="S15" s="153" t="e">
        <f ca="1">somaCodigo(8,Classificacao!D36)</f>
        <v>#VALUE!</v>
      </c>
      <c r="T15" s="151">
        <v>400</v>
      </c>
      <c r="U15" s="153" t="e">
        <f ca="1">somaCodigo(9,Classificacao!D36)</f>
        <v>#VALUE!</v>
      </c>
      <c r="V15" s="151">
        <v>400</v>
      </c>
      <c r="W15" s="153" t="e">
        <f ca="1">somaCodigo(10,Classificacao!D36)</f>
        <v>#VALUE!</v>
      </c>
      <c r="X15" s="151">
        <v>400</v>
      </c>
      <c r="Y15" s="153" t="e">
        <f ca="1">somaCodigo(11,Classificacao!D36)</f>
        <v>#VALUE!</v>
      </c>
      <c r="Z15" s="153" t="e">
        <f ca="1">somaCodigo(11,Classificacao!E36)</f>
        <v>#VALUE!</v>
      </c>
      <c r="AA15" s="153" t="e">
        <f ca="1">somaCodigo(12,Classificacao!D36)</f>
        <v>#VALUE!</v>
      </c>
      <c r="AB15" s="6"/>
      <c r="AC15" s="134"/>
      <c r="AE15" s="106"/>
      <c r="AF15" s="122" t="e">
        <f t="shared" ref="AF15:AF78" ca="1" si="1">AVERAGE(E15,G15,I15,K15,M15,O15,Q15,S15,U15,W15,Y15,AA15)</f>
        <v>#VALUE!</v>
      </c>
    </row>
    <row r="16" spans="1:37" ht="12.75" customHeight="1" outlineLevel="1">
      <c r="A16" s="134"/>
      <c r="B16" s="6"/>
      <c r="C16" s="160" t="str">
        <f>Classificacao!F37</f>
        <v>Prestação casa</v>
      </c>
      <c r="D16" s="151">
        <v>0</v>
      </c>
      <c r="E16" s="153">
        <f ca="1">somaCodigo(1,Classificacao!D37)</f>
        <v>0</v>
      </c>
      <c r="F16" s="151">
        <v>0</v>
      </c>
      <c r="G16" s="153" t="e">
        <f ca="1">somaCodigo(2,Classificacao!D37)</f>
        <v>#VALUE!</v>
      </c>
      <c r="H16" s="151">
        <v>1053</v>
      </c>
      <c r="I16" s="153" t="e">
        <f ca="1">somaCodigo(3,Classificacao!D37)</f>
        <v>#VALUE!</v>
      </c>
      <c r="J16" s="151">
        <v>1053</v>
      </c>
      <c r="K16" s="153" t="e">
        <f ca="1">somaCodigo(4,Classificacao!D37)</f>
        <v>#VALUE!</v>
      </c>
      <c r="L16" s="151">
        <v>1053</v>
      </c>
      <c r="M16" s="153" t="e">
        <f ca="1">somaCodigo(5,Classificacao!D37)</f>
        <v>#VALUE!</v>
      </c>
      <c r="N16" s="151">
        <v>1053</v>
      </c>
      <c r="O16" s="153" t="e">
        <f ca="1">somaCodigo(6,Classificacao!D37)</f>
        <v>#VALUE!</v>
      </c>
      <c r="P16" s="151">
        <v>1053</v>
      </c>
      <c r="Q16" s="153" t="e">
        <f ca="1">somaCodigo(7,Classificacao!D37)</f>
        <v>#VALUE!</v>
      </c>
      <c r="R16" s="151">
        <v>1053</v>
      </c>
      <c r="S16" s="153" t="e">
        <f ca="1">somaCodigo(8,Classificacao!D37)</f>
        <v>#VALUE!</v>
      </c>
      <c r="T16" s="151">
        <v>1053</v>
      </c>
      <c r="U16" s="153" t="e">
        <f ca="1">somaCodigo(9,Classificacao!D37)</f>
        <v>#VALUE!</v>
      </c>
      <c r="V16" s="151">
        <v>1053</v>
      </c>
      <c r="W16" s="153" t="e">
        <f ca="1">somaCodigo(10,Classificacao!D37)</f>
        <v>#VALUE!</v>
      </c>
      <c r="X16" s="151">
        <v>1053</v>
      </c>
      <c r="Y16" s="153" t="e">
        <f ca="1">somaCodigo(11,Classificacao!D37)</f>
        <v>#VALUE!</v>
      </c>
      <c r="Z16" s="153" t="e">
        <f ca="1">somaCodigo(11,Classificacao!E37)</f>
        <v>#VALUE!</v>
      </c>
      <c r="AA16" s="153" t="e">
        <f ca="1">somaCodigo(12,Classificacao!D37)</f>
        <v>#VALUE!</v>
      </c>
      <c r="AB16" s="6"/>
      <c r="AC16" s="134"/>
      <c r="AE16" s="104"/>
      <c r="AF16" s="123" t="e">
        <f t="shared" ca="1" si="1"/>
        <v>#VALUE!</v>
      </c>
    </row>
    <row r="17" spans="1:32" ht="12.75" customHeight="1" outlineLevel="1">
      <c r="A17" s="134"/>
      <c r="B17" s="6"/>
      <c r="C17" s="160" t="str">
        <f>Classificacao!F38</f>
        <v>Prestação carro</v>
      </c>
      <c r="D17" s="151">
        <v>0</v>
      </c>
      <c r="E17" s="153">
        <f ca="1">somaCodigo(1,Classificacao!D38)</f>
        <v>0</v>
      </c>
      <c r="F17" s="151">
        <v>0</v>
      </c>
      <c r="G17" s="153" t="e">
        <f ca="1">somaCodigo(2,Classificacao!D38)</f>
        <v>#VALUE!</v>
      </c>
      <c r="H17" s="151">
        <v>1760.15</v>
      </c>
      <c r="I17" s="153" t="e">
        <f ca="1">somaCodigo(3,Classificacao!D38)</f>
        <v>#VALUE!</v>
      </c>
      <c r="J17" s="151">
        <v>1760.15</v>
      </c>
      <c r="K17" s="153" t="e">
        <f ca="1">somaCodigo(4,Classificacao!D38)</f>
        <v>#VALUE!</v>
      </c>
      <c r="L17" s="151">
        <v>1760.15</v>
      </c>
      <c r="M17" s="153" t="e">
        <f ca="1">somaCodigo(5,Classificacao!D38)</f>
        <v>#VALUE!</v>
      </c>
      <c r="N17" s="151">
        <v>1760.15</v>
      </c>
      <c r="O17" s="153" t="e">
        <f ca="1">somaCodigo(6,Classificacao!D38)</f>
        <v>#VALUE!</v>
      </c>
      <c r="P17" s="151">
        <v>1760.15</v>
      </c>
      <c r="Q17" s="153" t="e">
        <f ca="1">somaCodigo(7,Classificacao!D38)</f>
        <v>#VALUE!</v>
      </c>
      <c r="R17" s="151">
        <v>1760.15</v>
      </c>
      <c r="S17" s="153" t="e">
        <f ca="1">somaCodigo(8,Classificacao!D38)</f>
        <v>#VALUE!</v>
      </c>
      <c r="T17" s="151">
        <v>1760.15</v>
      </c>
      <c r="U17" s="153" t="e">
        <f ca="1">somaCodigo(9,Classificacao!D38)</f>
        <v>#VALUE!</v>
      </c>
      <c r="V17" s="151">
        <v>1760.15</v>
      </c>
      <c r="W17" s="153" t="e">
        <f ca="1">somaCodigo(10,Classificacao!D38)</f>
        <v>#VALUE!</v>
      </c>
      <c r="X17" s="151">
        <v>1760.15</v>
      </c>
      <c r="Y17" s="153" t="e">
        <f ca="1">somaCodigo(11,Classificacao!D38)</f>
        <v>#VALUE!</v>
      </c>
      <c r="Z17" s="153" t="e">
        <f ca="1">somaCodigo(11,Classificacao!E38)</f>
        <v>#VALUE!</v>
      </c>
      <c r="AA17" s="153" t="e">
        <f ca="1">somaCodigo(12,Classificacao!D38)</f>
        <v>#VALUE!</v>
      </c>
      <c r="AB17" s="6"/>
      <c r="AC17" s="134"/>
      <c r="AE17" s="104"/>
      <c r="AF17" s="123" t="e">
        <f t="shared" ca="1" si="1"/>
        <v>#VALUE!</v>
      </c>
    </row>
    <row r="18" spans="1:32" ht="12.75" customHeight="1" outlineLevel="1">
      <c r="A18" s="134"/>
      <c r="B18" s="6"/>
      <c r="C18" s="160" t="str">
        <f>Classificacao!F39</f>
        <v>IPTU</v>
      </c>
      <c r="D18" s="151">
        <v>0</v>
      </c>
      <c r="E18" s="153">
        <f ca="1">somaCodigo(1,Classificacao!D39)</f>
        <v>0</v>
      </c>
      <c r="F18" s="151">
        <v>0</v>
      </c>
      <c r="G18" s="153" t="e">
        <f ca="1">somaCodigo(2,Classificacao!D39)</f>
        <v>#VALUE!</v>
      </c>
      <c r="H18" s="151">
        <v>51.12</v>
      </c>
      <c r="I18" s="153" t="e">
        <f ca="1">somaCodigo(3,Classificacao!D39)</f>
        <v>#VALUE!</v>
      </c>
      <c r="J18" s="151">
        <v>51.12</v>
      </c>
      <c r="K18" s="153" t="e">
        <f ca="1">somaCodigo(4,Classificacao!D39)</f>
        <v>#VALUE!</v>
      </c>
      <c r="L18" s="151">
        <v>51.12</v>
      </c>
      <c r="M18" s="153" t="e">
        <f ca="1">somaCodigo(5,Classificacao!D39)</f>
        <v>#VALUE!</v>
      </c>
      <c r="N18" s="151">
        <v>51.12</v>
      </c>
      <c r="O18" s="153" t="e">
        <f ca="1">somaCodigo(6,Classificacao!D39)</f>
        <v>#VALUE!</v>
      </c>
      <c r="P18" s="151">
        <v>51.12</v>
      </c>
      <c r="Q18" s="153" t="e">
        <f ca="1">somaCodigo(7,Classificacao!D39)</f>
        <v>#VALUE!</v>
      </c>
      <c r="R18" s="151">
        <v>51.12</v>
      </c>
      <c r="S18" s="153" t="e">
        <f ca="1">somaCodigo(8,Classificacao!D39)</f>
        <v>#VALUE!</v>
      </c>
      <c r="T18" s="151">
        <v>51.12</v>
      </c>
      <c r="U18" s="153" t="e">
        <f ca="1">somaCodigo(9,Classificacao!D39)</f>
        <v>#VALUE!</v>
      </c>
      <c r="V18" s="151">
        <v>51.12</v>
      </c>
      <c r="W18" s="153" t="e">
        <f ca="1">somaCodigo(10,Classificacao!D39)</f>
        <v>#VALUE!</v>
      </c>
      <c r="X18" s="151">
        <v>51.12</v>
      </c>
      <c r="Y18" s="153" t="e">
        <f ca="1">somaCodigo(11,Classificacao!D39)</f>
        <v>#VALUE!</v>
      </c>
      <c r="Z18" s="153" t="e">
        <f ca="1">somaCodigo(11,Classificacao!E39)</f>
        <v>#VALUE!</v>
      </c>
      <c r="AA18" s="153" t="e">
        <f ca="1">somaCodigo(12,Classificacao!D39)</f>
        <v>#VALUE!</v>
      </c>
      <c r="AB18" s="6"/>
      <c r="AC18" s="134"/>
      <c r="AE18" s="104"/>
      <c r="AF18" s="123" t="e">
        <f t="shared" ca="1" si="1"/>
        <v>#VALUE!</v>
      </c>
    </row>
    <row r="19" spans="1:32" ht="12.75" customHeight="1" outlineLevel="1">
      <c r="A19" s="134"/>
      <c r="B19" s="6"/>
      <c r="C19" s="160" t="str">
        <f>Classificacao!F40</f>
        <v>IPVA</v>
      </c>
      <c r="D19" s="151">
        <v>0</v>
      </c>
      <c r="E19" s="153">
        <f ca="1">somaCodigo(1,Classificacao!D40)</f>
        <v>0</v>
      </c>
      <c r="F19" s="151">
        <v>0</v>
      </c>
      <c r="G19" s="153" t="e">
        <f ca="1">somaCodigo(2,Classificacao!D40)</f>
        <v>#VALUE!</v>
      </c>
      <c r="H19" s="151">
        <v>0</v>
      </c>
      <c r="I19" s="153" t="e">
        <f ca="1">somaCodigo(3,Classificacao!D40)</f>
        <v>#VALUE!</v>
      </c>
      <c r="J19" s="151">
        <v>0</v>
      </c>
      <c r="K19" s="153" t="e">
        <f ca="1">somaCodigo(4,Classificacao!D40)</f>
        <v>#VALUE!</v>
      </c>
      <c r="L19" s="151">
        <v>0</v>
      </c>
      <c r="M19" s="153" t="e">
        <f ca="1">somaCodigo(5,Classificacao!D40)</f>
        <v>#VALUE!</v>
      </c>
      <c r="N19" s="151">
        <v>0</v>
      </c>
      <c r="O19" s="153" t="e">
        <f ca="1">somaCodigo(6,Classificacao!D40)</f>
        <v>#VALUE!</v>
      </c>
      <c r="P19" s="151">
        <v>0</v>
      </c>
      <c r="Q19" s="153" t="e">
        <f ca="1">somaCodigo(7,Classificacao!D40)</f>
        <v>#VALUE!</v>
      </c>
      <c r="R19" s="151">
        <v>0</v>
      </c>
      <c r="S19" s="153" t="e">
        <f ca="1">somaCodigo(8,Classificacao!D40)</f>
        <v>#VALUE!</v>
      </c>
      <c r="T19" s="151">
        <v>0</v>
      </c>
      <c r="U19" s="153" t="e">
        <f ca="1">somaCodigo(9,Classificacao!D40)</f>
        <v>#VALUE!</v>
      </c>
      <c r="V19" s="151">
        <v>0</v>
      </c>
      <c r="W19" s="153" t="e">
        <f ca="1">somaCodigo(10,Classificacao!D40)</f>
        <v>#VALUE!</v>
      </c>
      <c r="X19" s="151">
        <v>0</v>
      </c>
      <c r="Y19" s="153" t="e">
        <f ca="1">somaCodigo(11,Classificacao!D40)</f>
        <v>#VALUE!</v>
      </c>
      <c r="Z19" s="153" t="e">
        <f ca="1">somaCodigo(11,Classificacao!E40)</f>
        <v>#VALUE!</v>
      </c>
      <c r="AA19" s="153" t="e">
        <f ca="1">somaCodigo(12,Classificacao!D40)</f>
        <v>#VALUE!</v>
      </c>
      <c r="AB19" s="6"/>
      <c r="AC19" s="134"/>
      <c r="AE19" s="104"/>
      <c r="AF19" s="123" t="e">
        <f t="shared" ca="1" si="1"/>
        <v>#VALUE!</v>
      </c>
    </row>
    <row r="20" spans="1:32" ht="12.75" customHeight="1" outlineLevel="1">
      <c r="A20" s="134"/>
      <c r="B20" s="6"/>
      <c r="C20" s="160">
        <f>Classificacao!F41</f>
        <v>0</v>
      </c>
      <c r="D20" s="151">
        <v>0</v>
      </c>
      <c r="E20" s="153">
        <f ca="1">somaCodigo(1,Classificacao!D41)</f>
        <v>0</v>
      </c>
      <c r="F20" s="151">
        <v>0</v>
      </c>
      <c r="G20" s="153" t="e">
        <f ca="1">somaCodigo(2,Classificacao!D41)</f>
        <v>#VALUE!</v>
      </c>
      <c r="H20" s="151">
        <v>90</v>
      </c>
      <c r="I20" s="153" t="e">
        <f ca="1">somaCodigo(3,Classificacao!D41)</f>
        <v>#VALUE!</v>
      </c>
      <c r="J20" s="151">
        <v>90</v>
      </c>
      <c r="K20" s="153" t="e">
        <f ca="1">somaCodigo(4,Classificacao!D41)</f>
        <v>#VALUE!</v>
      </c>
      <c r="L20" s="151">
        <v>90</v>
      </c>
      <c r="M20" s="153" t="e">
        <f ca="1">somaCodigo(5,Classificacao!D41)</f>
        <v>#VALUE!</v>
      </c>
      <c r="N20" s="151">
        <v>90</v>
      </c>
      <c r="O20" s="153" t="e">
        <f ca="1">somaCodigo(6,Classificacao!D41)</f>
        <v>#VALUE!</v>
      </c>
      <c r="P20" s="151">
        <v>90</v>
      </c>
      <c r="Q20" s="153" t="e">
        <f ca="1">somaCodigo(7,Classificacao!D41)</f>
        <v>#VALUE!</v>
      </c>
      <c r="R20" s="151">
        <v>90</v>
      </c>
      <c r="S20" s="153" t="e">
        <f ca="1">somaCodigo(8,Classificacao!D41)</f>
        <v>#VALUE!</v>
      </c>
      <c r="T20" s="151">
        <v>90</v>
      </c>
      <c r="U20" s="153" t="e">
        <f ca="1">somaCodigo(9,Classificacao!D41)</f>
        <v>#VALUE!</v>
      </c>
      <c r="V20" s="151">
        <v>90</v>
      </c>
      <c r="W20" s="153" t="e">
        <f ca="1">somaCodigo(10,Classificacao!D41)</f>
        <v>#VALUE!</v>
      </c>
      <c r="X20" s="151">
        <v>90</v>
      </c>
      <c r="Y20" s="153" t="e">
        <f ca="1">somaCodigo(11,Classificacao!D41)</f>
        <v>#VALUE!</v>
      </c>
      <c r="Z20" s="153" t="e">
        <f ca="1">somaCodigo(11,Classificacao!E41)</f>
        <v>#VALUE!</v>
      </c>
      <c r="AA20" s="153" t="e">
        <f ca="1">somaCodigo(12,Classificacao!D41)</f>
        <v>#VALUE!</v>
      </c>
      <c r="AB20" s="6"/>
      <c r="AC20" s="134"/>
      <c r="AE20" s="104"/>
      <c r="AF20" s="123" t="e">
        <f t="shared" ca="1" si="1"/>
        <v>#VALUE!</v>
      </c>
    </row>
    <row r="21" spans="1:32" ht="12.75" customHeight="1" outlineLevel="1">
      <c r="A21" s="134"/>
      <c r="B21" s="6"/>
      <c r="C21" s="160">
        <f>Classificacao!F42</f>
        <v>0</v>
      </c>
      <c r="D21" s="151">
        <v>0</v>
      </c>
      <c r="E21" s="153">
        <f ca="1">somaCodigo(1,Classificacao!D42)</f>
        <v>0</v>
      </c>
      <c r="F21" s="151">
        <v>0</v>
      </c>
      <c r="G21" s="153" t="e">
        <f ca="1">somaCodigo(2,Classificacao!D42)</f>
        <v>#VALUE!</v>
      </c>
      <c r="H21" s="151">
        <v>124</v>
      </c>
      <c r="I21" s="153" t="e">
        <f ca="1">somaCodigo(3,Classificacao!D42)</f>
        <v>#VALUE!</v>
      </c>
      <c r="J21" s="151">
        <v>124</v>
      </c>
      <c r="K21" s="153" t="e">
        <f ca="1">somaCodigo(4,Classificacao!D42)</f>
        <v>#VALUE!</v>
      </c>
      <c r="L21" s="151">
        <v>124</v>
      </c>
      <c r="M21" s="153" t="e">
        <f ca="1">somaCodigo(5,Classificacao!D42)</f>
        <v>#VALUE!</v>
      </c>
      <c r="N21" s="151">
        <v>124</v>
      </c>
      <c r="O21" s="153" t="e">
        <f ca="1">somaCodigo(6,Classificacao!D42)</f>
        <v>#VALUE!</v>
      </c>
      <c r="P21" s="151">
        <v>124</v>
      </c>
      <c r="Q21" s="153" t="e">
        <f ca="1">somaCodigo(7,Classificacao!D42)</f>
        <v>#VALUE!</v>
      </c>
      <c r="R21" s="151">
        <v>124</v>
      </c>
      <c r="S21" s="153" t="e">
        <f ca="1">somaCodigo(8,Classificacao!D42)</f>
        <v>#VALUE!</v>
      </c>
      <c r="T21" s="151">
        <v>124</v>
      </c>
      <c r="U21" s="153" t="e">
        <f ca="1">somaCodigo(9,Classificacao!D42)</f>
        <v>#VALUE!</v>
      </c>
      <c r="V21" s="151">
        <v>124</v>
      </c>
      <c r="W21" s="153" t="e">
        <f ca="1">somaCodigo(10,Classificacao!D42)</f>
        <v>#VALUE!</v>
      </c>
      <c r="X21" s="151">
        <v>124</v>
      </c>
      <c r="Y21" s="153" t="e">
        <f ca="1">somaCodigo(11,Classificacao!D42)</f>
        <v>#VALUE!</v>
      </c>
      <c r="Z21" s="153" t="e">
        <f ca="1">somaCodigo(11,Classificacao!E42)</f>
        <v>#VALUE!</v>
      </c>
      <c r="AA21" s="153" t="e">
        <f ca="1">somaCodigo(12,Classificacao!D42)</f>
        <v>#VALUE!</v>
      </c>
      <c r="AB21" s="6"/>
      <c r="AC21" s="134"/>
      <c r="AE21" s="104"/>
      <c r="AF21" s="123" t="e">
        <f t="shared" ca="1" si="1"/>
        <v>#VALUE!</v>
      </c>
    </row>
    <row r="22" spans="1:32" ht="12.75" customHeight="1" outlineLevel="1">
      <c r="A22" s="134"/>
      <c r="B22" s="6"/>
      <c r="C22" s="160">
        <f>Classificacao!F43</f>
        <v>0</v>
      </c>
      <c r="D22" s="151">
        <v>0</v>
      </c>
      <c r="E22" s="153">
        <f ca="1">somaCodigo(1,Classificacao!D43)</f>
        <v>0</v>
      </c>
      <c r="F22" s="151">
        <v>0</v>
      </c>
      <c r="G22" s="153" t="e">
        <f ca="1">somaCodigo(2,Classificacao!D43)</f>
        <v>#VALUE!</v>
      </c>
      <c r="H22" s="151">
        <v>240</v>
      </c>
      <c r="I22" s="153" t="e">
        <f ca="1">somaCodigo(3,Classificacao!D43)</f>
        <v>#VALUE!</v>
      </c>
      <c r="J22" s="151">
        <v>270</v>
      </c>
      <c r="K22" s="153" t="e">
        <f ca="1">somaCodigo(4,Classificacao!D43)</f>
        <v>#VALUE!</v>
      </c>
      <c r="L22" s="151">
        <v>230</v>
      </c>
      <c r="M22" s="153" t="e">
        <f ca="1">somaCodigo(5,Classificacao!D43)</f>
        <v>#VALUE!</v>
      </c>
      <c r="N22" s="151">
        <v>230</v>
      </c>
      <c r="O22" s="153" t="e">
        <f ca="1">somaCodigo(6,Classificacao!D43)</f>
        <v>#VALUE!</v>
      </c>
      <c r="P22" s="151">
        <v>230</v>
      </c>
      <c r="Q22" s="153" t="e">
        <f ca="1">somaCodigo(7,Classificacao!D43)</f>
        <v>#VALUE!</v>
      </c>
      <c r="R22" s="151">
        <v>230</v>
      </c>
      <c r="S22" s="153" t="e">
        <f ca="1">somaCodigo(8,Classificacao!D43)</f>
        <v>#VALUE!</v>
      </c>
      <c r="T22" s="151">
        <v>230</v>
      </c>
      <c r="U22" s="153" t="e">
        <f ca="1">somaCodigo(9,Classificacao!D43)</f>
        <v>#VALUE!</v>
      </c>
      <c r="V22" s="151">
        <v>230</v>
      </c>
      <c r="W22" s="153" t="e">
        <f ca="1">somaCodigo(10,Classificacao!D43)</f>
        <v>#VALUE!</v>
      </c>
      <c r="X22" s="151">
        <v>230</v>
      </c>
      <c r="Y22" s="153" t="e">
        <f ca="1">somaCodigo(11,Classificacao!D43)</f>
        <v>#VALUE!</v>
      </c>
      <c r="Z22" s="153" t="e">
        <f ca="1">somaCodigo(11,Classificacao!E43)</f>
        <v>#VALUE!</v>
      </c>
      <c r="AA22" s="153" t="e">
        <f ca="1">somaCodigo(12,Classificacao!D43)</f>
        <v>#VALUE!</v>
      </c>
      <c r="AB22" s="6"/>
      <c r="AC22" s="134"/>
      <c r="AE22" s="105"/>
      <c r="AF22" s="124" t="e">
        <f t="shared" ca="1" si="1"/>
        <v>#VALUE!</v>
      </c>
    </row>
    <row r="23" spans="1:32" ht="12.75" customHeight="1" outlineLevel="1">
      <c r="A23" s="134"/>
      <c r="B23" s="6"/>
      <c r="C23" s="160">
        <f>Classificacao!F44</f>
        <v>0</v>
      </c>
      <c r="D23" s="151">
        <v>0</v>
      </c>
      <c r="E23" s="153">
        <f ca="1">somaCodigo(1,Classificacao!D44)</f>
        <v>0</v>
      </c>
      <c r="F23" s="151">
        <v>0</v>
      </c>
      <c r="G23" s="153" t="e">
        <f ca="1">somaCodigo(2,Classificacao!D44)</f>
        <v>#VALUE!</v>
      </c>
      <c r="H23" s="151">
        <v>264</v>
      </c>
      <c r="I23" s="153" t="e">
        <f ca="1">somaCodigo(3,Classificacao!D44)</f>
        <v>#VALUE!</v>
      </c>
      <c r="J23" s="151">
        <v>200</v>
      </c>
      <c r="K23" s="153" t="e">
        <f ca="1">somaCodigo(4,Classificacao!D44)</f>
        <v>#VALUE!</v>
      </c>
      <c r="L23" s="151">
        <v>200</v>
      </c>
      <c r="M23" s="153" t="e">
        <f ca="1">somaCodigo(5,Classificacao!D44)</f>
        <v>#VALUE!</v>
      </c>
      <c r="N23" s="151">
        <v>200</v>
      </c>
      <c r="O23" s="153" t="e">
        <f ca="1">somaCodigo(6,Classificacao!D44)</f>
        <v>#VALUE!</v>
      </c>
      <c r="P23" s="151">
        <v>200</v>
      </c>
      <c r="Q23" s="153" t="e">
        <f ca="1">somaCodigo(7,Classificacao!D44)</f>
        <v>#VALUE!</v>
      </c>
      <c r="R23" s="151">
        <v>200</v>
      </c>
      <c r="S23" s="153" t="e">
        <f ca="1">somaCodigo(8,Classificacao!D44)</f>
        <v>#VALUE!</v>
      </c>
      <c r="T23" s="151">
        <v>200</v>
      </c>
      <c r="U23" s="153" t="e">
        <f ca="1">somaCodigo(9,Classificacao!D44)</f>
        <v>#VALUE!</v>
      </c>
      <c r="V23" s="151">
        <v>200</v>
      </c>
      <c r="W23" s="153" t="e">
        <f ca="1">somaCodigo(10,Classificacao!D44)</f>
        <v>#VALUE!</v>
      </c>
      <c r="X23" s="151">
        <v>200</v>
      </c>
      <c r="Y23" s="153" t="e">
        <f ca="1">somaCodigo(11,Classificacao!D44)</f>
        <v>#VALUE!</v>
      </c>
      <c r="Z23" s="153" t="e">
        <f ca="1">somaCodigo(11,Classificacao!E44)</f>
        <v>#VALUE!</v>
      </c>
      <c r="AA23" s="153" t="e">
        <f ca="1">somaCodigo(12,Classificacao!D44)</f>
        <v>#VALUE!</v>
      </c>
      <c r="AB23" s="6"/>
      <c r="AC23" s="134"/>
      <c r="AE23" s="105"/>
      <c r="AF23" s="124" t="e">
        <f t="shared" ca="1" si="1"/>
        <v>#VALUE!</v>
      </c>
    </row>
    <row r="24" spans="1:32" ht="12.75" customHeight="1" outlineLevel="1">
      <c r="A24" s="134"/>
      <c r="B24" s="6"/>
      <c r="C24" s="160">
        <f>Classificacao!F45</f>
        <v>0</v>
      </c>
      <c r="D24" s="151">
        <v>0</v>
      </c>
      <c r="E24" s="153">
        <f ca="1">somaCodigo(1,Classificacao!D45)</f>
        <v>0</v>
      </c>
      <c r="F24" s="151">
        <v>0</v>
      </c>
      <c r="G24" s="153" t="e">
        <f ca="1">somaCodigo(2,Classificacao!D45)</f>
        <v>#VALUE!</v>
      </c>
      <c r="H24" s="151">
        <v>891</v>
      </c>
      <c r="I24" s="153" t="e">
        <f ca="1">somaCodigo(3,Classificacao!D45)</f>
        <v>#VALUE!</v>
      </c>
      <c r="J24" s="151">
        <v>891</v>
      </c>
      <c r="K24" s="153" t="e">
        <f ca="1">somaCodigo(4,Classificacao!D45)</f>
        <v>#VALUE!</v>
      </c>
      <c r="L24" s="151">
        <v>891</v>
      </c>
      <c r="M24" s="153" t="e">
        <f ca="1">somaCodigo(5,Classificacao!D45)</f>
        <v>#VALUE!</v>
      </c>
      <c r="N24" s="151">
        <v>0</v>
      </c>
      <c r="O24" s="153" t="e">
        <f ca="1">somaCodigo(6,Classificacao!D45)</f>
        <v>#VALUE!</v>
      </c>
      <c r="P24" s="151">
        <v>0</v>
      </c>
      <c r="Q24" s="153" t="e">
        <f ca="1">somaCodigo(7,Classificacao!D45)</f>
        <v>#VALUE!</v>
      </c>
      <c r="R24" s="151">
        <v>0</v>
      </c>
      <c r="S24" s="153" t="e">
        <f ca="1">somaCodigo(8,Classificacao!D45)</f>
        <v>#VALUE!</v>
      </c>
      <c r="T24" s="151">
        <v>0</v>
      </c>
      <c r="U24" s="153" t="e">
        <f ca="1">somaCodigo(9,Classificacao!D45)</f>
        <v>#VALUE!</v>
      </c>
      <c r="V24" s="151">
        <v>0</v>
      </c>
      <c r="W24" s="153" t="e">
        <f ca="1">somaCodigo(10,Classificacao!D45)</f>
        <v>#VALUE!</v>
      </c>
      <c r="X24" s="151">
        <v>0</v>
      </c>
      <c r="Y24" s="153" t="e">
        <f ca="1">somaCodigo(11,Classificacao!D45)</f>
        <v>#VALUE!</v>
      </c>
      <c r="Z24" s="153" t="e">
        <f ca="1">somaCodigo(11,Classificacao!E45)</f>
        <v>#VALUE!</v>
      </c>
      <c r="AA24" s="153" t="e">
        <f ca="1">somaCodigo(12,Classificacao!D45)</f>
        <v>#VALUE!</v>
      </c>
      <c r="AB24" s="6"/>
      <c r="AC24" s="134"/>
      <c r="AE24" s="104"/>
      <c r="AF24" s="123" t="e">
        <f t="shared" ca="1" si="1"/>
        <v>#VALUE!</v>
      </c>
    </row>
    <row r="25" spans="1:32" ht="12.75" customHeight="1" outlineLevel="1">
      <c r="A25" s="134"/>
      <c r="B25" s="6"/>
      <c r="C25" s="160">
        <f>Classificacao!F46</f>
        <v>0</v>
      </c>
      <c r="D25" s="151">
        <v>0</v>
      </c>
      <c r="E25" s="153">
        <f ca="1">somaCodigo(1,Classificacao!D46)</f>
        <v>0</v>
      </c>
      <c r="F25" s="151">
        <v>0</v>
      </c>
      <c r="G25" s="153" t="e">
        <f ca="1">somaCodigo(2,Classificacao!D46)</f>
        <v>#VALUE!</v>
      </c>
      <c r="H25" s="151">
        <v>0</v>
      </c>
      <c r="I25" s="153" t="e">
        <f ca="1">somaCodigo(3,Classificacao!D46)</f>
        <v>#VALUE!</v>
      </c>
      <c r="J25" s="151">
        <v>0</v>
      </c>
      <c r="K25" s="153" t="e">
        <f ca="1">somaCodigo(4,Classificacao!D46)</f>
        <v>#VALUE!</v>
      </c>
      <c r="L25" s="151">
        <v>0</v>
      </c>
      <c r="M25" s="153" t="e">
        <f ca="1">somaCodigo(5,Classificacao!D46)</f>
        <v>#VALUE!</v>
      </c>
      <c r="N25" s="151">
        <v>0</v>
      </c>
      <c r="O25" s="153" t="e">
        <f ca="1">somaCodigo(6,Classificacao!D46)</f>
        <v>#VALUE!</v>
      </c>
      <c r="P25" s="151">
        <v>0</v>
      </c>
      <c r="Q25" s="153" t="e">
        <f ca="1">somaCodigo(7,Classificacao!D46)</f>
        <v>#VALUE!</v>
      </c>
      <c r="R25" s="151">
        <v>0</v>
      </c>
      <c r="S25" s="153" t="e">
        <f ca="1">somaCodigo(8,Classificacao!D46)</f>
        <v>#VALUE!</v>
      </c>
      <c r="T25" s="151">
        <v>0</v>
      </c>
      <c r="U25" s="153" t="e">
        <f ca="1">somaCodigo(9,Classificacao!D46)</f>
        <v>#VALUE!</v>
      </c>
      <c r="V25" s="151">
        <v>0</v>
      </c>
      <c r="W25" s="153" t="e">
        <f ca="1">somaCodigo(10,Classificacao!D46)</f>
        <v>#VALUE!</v>
      </c>
      <c r="X25" s="151">
        <v>0</v>
      </c>
      <c r="Y25" s="153" t="e">
        <f ca="1">somaCodigo(11,Classificacao!D46)</f>
        <v>#VALUE!</v>
      </c>
      <c r="Z25" s="153" t="e">
        <f ca="1">somaCodigo(11,Classificacao!E46)</f>
        <v>#VALUE!</v>
      </c>
      <c r="AA25" s="153" t="e">
        <f ca="1">somaCodigo(12,Classificacao!D46)</f>
        <v>#VALUE!</v>
      </c>
      <c r="AB25" s="6"/>
      <c r="AC25" s="134"/>
      <c r="AE25" s="104"/>
      <c r="AF25" s="123" t="e">
        <f t="shared" ca="1" si="1"/>
        <v>#VALUE!</v>
      </c>
    </row>
    <row r="26" spans="1:32" ht="12.75" customHeight="1" outlineLevel="1">
      <c r="A26" s="134"/>
      <c r="B26" s="6"/>
      <c r="C26" s="160">
        <f>Classificacao!F47</f>
        <v>0</v>
      </c>
      <c r="D26" s="151">
        <v>0</v>
      </c>
      <c r="E26" s="153">
        <f ca="1">somaCodigo(1,Classificacao!D47)</f>
        <v>0</v>
      </c>
      <c r="F26" s="151">
        <v>0</v>
      </c>
      <c r="G26" s="153" t="e">
        <f ca="1">somaCodigo(2,Classificacao!D47)</f>
        <v>#VALUE!</v>
      </c>
      <c r="H26" s="151">
        <v>0</v>
      </c>
      <c r="I26" s="153" t="e">
        <f ca="1">somaCodigo(3,Classificacao!D47)</f>
        <v>#VALUE!</v>
      </c>
      <c r="J26" s="151">
        <v>0</v>
      </c>
      <c r="K26" s="153" t="e">
        <f ca="1">somaCodigo(4,Classificacao!D47)</f>
        <v>#VALUE!</v>
      </c>
      <c r="L26" s="151">
        <v>0</v>
      </c>
      <c r="M26" s="153" t="e">
        <f ca="1">somaCodigo(5,Classificacao!D47)</f>
        <v>#VALUE!</v>
      </c>
      <c r="N26" s="151">
        <v>0</v>
      </c>
      <c r="O26" s="153" t="e">
        <f ca="1">somaCodigo(6,Classificacao!D47)</f>
        <v>#VALUE!</v>
      </c>
      <c r="P26" s="151">
        <v>0</v>
      </c>
      <c r="Q26" s="153" t="e">
        <f ca="1">somaCodigo(7,Classificacao!D47)</f>
        <v>#VALUE!</v>
      </c>
      <c r="R26" s="151">
        <v>375</v>
      </c>
      <c r="S26" s="153" t="e">
        <f ca="1">somaCodigo(8,Classificacao!D47)</f>
        <v>#VALUE!</v>
      </c>
      <c r="T26" s="151">
        <v>375</v>
      </c>
      <c r="U26" s="153" t="e">
        <f ca="1">somaCodigo(9,Classificacao!D47)</f>
        <v>#VALUE!</v>
      </c>
      <c r="V26" s="151">
        <v>375</v>
      </c>
      <c r="W26" s="153" t="e">
        <f ca="1">somaCodigo(10,Classificacao!D47)</f>
        <v>#VALUE!</v>
      </c>
      <c r="X26" s="151">
        <v>0</v>
      </c>
      <c r="Y26" s="153" t="e">
        <f ca="1">somaCodigo(11,Classificacao!D47)</f>
        <v>#VALUE!</v>
      </c>
      <c r="Z26" s="153" t="e">
        <f ca="1">somaCodigo(11,Classificacao!E47)</f>
        <v>#VALUE!</v>
      </c>
      <c r="AA26" s="153" t="e">
        <f ca="1">somaCodigo(12,Classificacao!D47)</f>
        <v>#VALUE!</v>
      </c>
      <c r="AB26" s="6"/>
      <c r="AC26" s="134"/>
      <c r="AE26" s="104"/>
      <c r="AF26" s="123" t="e">
        <f t="shared" ca="1" si="1"/>
        <v>#VALUE!</v>
      </c>
    </row>
    <row r="27" spans="1:32" ht="12.75" customHeight="1" outlineLevel="1">
      <c r="A27" s="134"/>
      <c r="B27" s="6"/>
      <c r="C27" s="160">
        <f>Classificacao!F48</f>
        <v>0</v>
      </c>
      <c r="D27" s="151">
        <v>0</v>
      </c>
      <c r="E27" s="153">
        <f ca="1">somaCodigo(1,Classificacao!D48)</f>
        <v>0</v>
      </c>
      <c r="F27" s="151">
        <v>0</v>
      </c>
      <c r="G27" s="153" t="e">
        <f ca="1">somaCodigo(2,Classificacao!D48)</f>
        <v>#VALUE!</v>
      </c>
      <c r="H27" s="151">
        <v>0</v>
      </c>
      <c r="I27" s="153" t="e">
        <f ca="1">somaCodigo(3,Classificacao!D48)</f>
        <v>#VALUE!</v>
      </c>
      <c r="J27" s="151">
        <v>0</v>
      </c>
      <c r="K27" s="153" t="e">
        <f ca="1">somaCodigo(4,Classificacao!D48)</f>
        <v>#VALUE!</v>
      </c>
      <c r="L27" s="151">
        <v>0</v>
      </c>
      <c r="M27" s="153" t="e">
        <f ca="1">somaCodigo(5,Classificacao!D48)</f>
        <v>#VALUE!</v>
      </c>
      <c r="N27" s="151">
        <v>0</v>
      </c>
      <c r="O27" s="153" t="e">
        <f ca="1">somaCodigo(6,Classificacao!D48)</f>
        <v>#VALUE!</v>
      </c>
      <c r="P27" s="151">
        <v>0</v>
      </c>
      <c r="Q27" s="153" t="e">
        <f ca="1">somaCodigo(7,Classificacao!D48)</f>
        <v>#VALUE!</v>
      </c>
      <c r="R27" s="151">
        <v>0</v>
      </c>
      <c r="S27" s="153" t="e">
        <f ca="1">somaCodigo(8,Classificacao!D48)</f>
        <v>#VALUE!</v>
      </c>
      <c r="T27" s="151">
        <v>0</v>
      </c>
      <c r="U27" s="153" t="e">
        <f ca="1">somaCodigo(9,Classificacao!D48)</f>
        <v>#VALUE!</v>
      </c>
      <c r="V27" s="151">
        <v>0</v>
      </c>
      <c r="W27" s="153" t="e">
        <f ca="1">somaCodigo(10,Classificacao!D48)</f>
        <v>#VALUE!</v>
      </c>
      <c r="X27" s="151">
        <v>0</v>
      </c>
      <c r="Y27" s="153" t="e">
        <f ca="1">somaCodigo(11,Classificacao!D48)</f>
        <v>#VALUE!</v>
      </c>
      <c r="Z27" s="153" t="e">
        <f ca="1">somaCodigo(11,Classificacao!E48)</f>
        <v>#VALUE!</v>
      </c>
      <c r="AA27" s="153" t="e">
        <f ca="1">somaCodigo(12,Classificacao!D48)</f>
        <v>#VALUE!</v>
      </c>
      <c r="AB27" s="6"/>
      <c r="AC27" s="134"/>
      <c r="AE27" s="104"/>
      <c r="AF27" s="123" t="e">
        <f t="shared" ca="1" si="1"/>
        <v>#VALUE!</v>
      </c>
    </row>
    <row r="28" spans="1:32" ht="12.75" customHeight="1" outlineLevel="1">
      <c r="A28" s="134"/>
      <c r="B28" s="6"/>
      <c r="C28" s="160">
        <f>Classificacao!F49</f>
        <v>0</v>
      </c>
      <c r="D28" s="151">
        <v>0</v>
      </c>
      <c r="E28" s="153">
        <f ca="1">somaCodigo(1,Classificacao!D49)</f>
        <v>0</v>
      </c>
      <c r="F28" s="151">
        <v>0</v>
      </c>
      <c r="G28" s="153" t="e">
        <f ca="1">somaCodigo(2,Classificacao!D49)</f>
        <v>#VALUE!</v>
      </c>
      <c r="H28" s="151">
        <v>0</v>
      </c>
      <c r="I28" s="153" t="e">
        <f ca="1">somaCodigo(3,Classificacao!D49)</f>
        <v>#VALUE!</v>
      </c>
      <c r="J28" s="151">
        <v>0</v>
      </c>
      <c r="K28" s="153" t="e">
        <f ca="1">somaCodigo(4,Classificacao!D49)</f>
        <v>#VALUE!</v>
      </c>
      <c r="L28" s="151">
        <v>0</v>
      </c>
      <c r="M28" s="153" t="e">
        <f ca="1">somaCodigo(5,Classificacao!D49)</f>
        <v>#VALUE!</v>
      </c>
      <c r="N28" s="151">
        <v>0</v>
      </c>
      <c r="O28" s="153" t="e">
        <f ca="1">somaCodigo(6,Classificacao!D49)</f>
        <v>#VALUE!</v>
      </c>
      <c r="P28" s="151">
        <v>0</v>
      </c>
      <c r="Q28" s="153" t="e">
        <f ca="1">somaCodigo(7,Classificacao!D49)</f>
        <v>#VALUE!</v>
      </c>
      <c r="R28" s="151">
        <v>0</v>
      </c>
      <c r="S28" s="153" t="e">
        <f ca="1">somaCodigo(8,Classificacao!D49)</f>
        <v>#VALUE!</v>
      </c>
      <c r="T28" s="151">
        <v>0</v>
      </c>
      <c r="U28" s="153" t="e">
        <f ca="1">somaCodigo(9,Classificacao!D49)</f>
        <v>#VALUE!</v>
      </c>
      <c r="V28" s="151">
        <v>0</v>
      </c>
      <c r="W28" s="153" t="e">
        <f ca="1">somaCodigo(10,Classificacao!D49)</f>
        <v>#VALUE!</v>
      </c>
      <c r="X28" s="151">
        <v>0</v>
      </c>
      <c r="Y28" s="153" t="e">
        <f ca="1">somaCodigo(11,Classificacao!D49)</f>
        <v>#VALUE!</v>
      </c>
      <c r="Z28" s="153" t="e">
        <f ca="1">somaCodigo(11,Classificacao!E49)</f>
        <v>#VALUE!</v>
      </c>
      <c r="AA28" s="153" t="e">
        <f ca="1">somaCodigo(12,Classificacao!D49)</f>
        <v>#VALUE!</v>
      </c>
      <c r="AB28" s="6"/>
      <c r="AC28" s="134"/>
      <c r="AE28" s="104"/>
      <c r="AF28" s="123" t="e">
        <f t="shared" ca="1" si="1"/>
        <v>#VALUE!</v>
      </c>
    </row>
    <row r="29" spans="1:32" ht="12.75" customHeight="1" outlineLevel="1">
      <c r="A29" s="134"/>
      <c r="B29" s="6"/>
      <c r="C29" s="160">
        <f>Classificacao!F50</f>
        <v>0</v>
      </c>
      <c r="D29" s="151">
        <v>0</v>
      </c>
      <c r="E29" s="153">
        <f ca="1">somaCodigo(1,Classificacao!D50)</f>
        <v>0</v>
      </c>
      <c r="F29" s="151">
        <v>0</v>
      </c>
      <c r="G29" s="153" t="e">
        <f ca="1">somaCodigo(2,Classificacao!D50)</f>
        <v>#VALUE!</v>
      </c>
      <c r="H29" s="151">
        <v>0</v>
      </c>
      <c r="I29" s="153" t="e">
        <f ca="1">somaCodigo(3,Classificacao!D50)</f>
        <v>#VALUE!</v>
      </c>
      <c r="J29" s="151">
        <v>0</v>
      </c>
      <c r="K29" s="153" t="e">
        <f ca="1">somaCodigo(4,Classificacao!D50)</f>
        <v>#VALUE!</v>
      </c>
      <c r="L29" s="151">
        <v>0</v>
      </c>
      <c r="M29" s="153" t="e">
        <f ca="1">somaCodigo(5,Classificacao!D50)</f>
        <v>#VALUE!</v>
      </c>
      <c r="N29" s="151">
        <v>0</v>
      </c>
      <c r="O29" s="153" t="e">
        <f ca="1">somaCodigo(6,Classificacao!D50)</f>
        <v>#VALUE!</v>
      </c>
      <c r="P29" s="151">
        <v>0</v>
      </c>
      <c r="Q29" s="153" t="e">
        <f ca="1">somaCodigo(7,Classificacao!D50)</f>
        <v>#VALUE!</v>
      </c>
      <c r="R29" s="151">
        <v>0</v>
      </c>
      <c r="S29" s="153" t="e">
        <f ca="1">somaCodigo(8,Classificacao!D50)</f>
        <v>#VALUE!</v>
      </c>
      <c r="T29" s="151">
        <v>0</v>
      </c>
      <c r="U29" s="153" t="e">
        <f ca="1">somaCodigo(9,Classificacao!D50)</f>
        <v>#VALUE!</v>
      </c>
      <c r="V29" s="151">
        <v>0</v>
      </c>
      <c r="W29" s="153" t="e">
        <f ca="1">somaCodigo(10,Classificacao!D50)</f>
        <v>#VALUE!</v>
      </c>
      <c r="X29" s="151">
        <v>0</v>
      </c>
      <c r="Y29" s="153" t="e">
        <f ca="1">somaCodigo(11,Classificacao!D50)</f>
        <v>#VALUE!</v>
      </c>
      <c r="Z29" s="153" t="e">
        <f ca="1">somaCodigo(11,Classificacao!E50)</f>
        <v>#VALUE!</v>
      </c>
      <c r="AA29" s="153" t="e">
        <f ca="1">somaCodigo(12,Classificacao!D50)</f>
        <v>#VALUE!</v>
      </c>
      <c r="AB29" s="6"/>
      <c r="AC29" s="134"/>
      <c r="AE29" s="104"/>
      <c r="AF29" s="123" t="e">
        <f t="shared" ca="1" si="1"/>
        <v>#VALUE!</v>
      </c>
    </row>
    <row r="30" spans="1:32" ht="12.75" customHeight="1" outlineLevel="1">
      <c r="A30" s="134"/>
      <c r="B30" s="6"/>
      <c r="C30" s="160">
        <f>Classificacao!F51</f>
        <v>0</v>
      </c>
      <c r="D30" s="151">
        <v>0</v>
      </c>
      <c r="E30" s="153">
        <f ca="1">somaCodigo(1,Classificacao!D51)</f>
        <v>0</v>
      </c>
      <c r="F30" s="151">
        <v>0</v>
      </c>
      <c r="G30" s="153" t="e">
        <f ca="1">somaCodigo(2,Classificacao!D51)</f>
        <v>#VALUE!</v>
      </c>
      <c r="H30" s="151">
        <v>0</v>
      </c>
      <c r="I30" s="153" t="e">
        <f ca="1">somaCodigo(3,Classificacao!D51)</f>
        <v>#VALUE!</v>
      </c>
      <c r="J30" s="151">
        <v>0</v>
      </c>
      <c r="K30" s="153" t="e">
        <f ca="1">somaCodigo(4,Classificacao!D51)</f>
        <v>#VALUE!</v>
      </c>
      <c r="L30" s="151">
        <v>0</v>
      </c>
      <c r="M30" s="153" t="e">
        <f ca="1">somaCodigo(5,Classificacao!D51)</f>
        <v>#VALUE!</v>
      </c>
      <c r="N30" s="151">
        <v>0</v>
      </c>
      <c r="O30" s="153" t="e">
        <f ca="1">somaCodigo(6,Classificacao!D51)</f>
        <v>#VALUE!</v>
      </c>
      <c r="P30" s="151">
        <v>0</v>
      </c>
      <c r="Q30" s="153" t="e">
        <f ca="1">somaCodigo(7,Classificacao!D51)</f>
        <v>#VALUE!</v>
      </c>
      <c r="R30" s="151">
        <v>0</v>
      </c>
      <c r="S30" s="153" t="e">
        <f ca="1">somaCodigo(8,Classificacao!D51)</f>
        <v>#VALUE!</v>
      </c>
      <c r="T30" s="151">
        <v>0</v>
      </c>
      <c r="U30" s="153" t="e">
        <f ca="1">somaCodigo(9,Classificacao!D51)</f>
        <v>#VALUE!</v>
      </c>
      <c r="V30" s="151">
        <v>0</v>
      </c>
      <c r="W30" s="153" t="e">
        <f ca="1">somaCodigo(10,Classificacao!D51)</f>
        <v>#VALUE!</v>
      </c>
      <c r="X30" s="151">
        <v>0</v>
      </c>
      <c r="Y30" s="153" t="e">
        <f ca="1">somaCodigo(11,Classificacao!D51)</f>
        <v>#VALUE!</v>
      </c>
      <c r="Z30" s="153" t="e">
        <f ca="1">somaCodigo(11,Classificacao!E51)</f>
        <v>#VALUE!</v>
      </c>
      <c r="AA30" s="153" t="e">
        <f ca="1">somaCodigo(12,Classificacao!D51)</f>
        <v>#VALUE!</v>
      </c>
      <c r="AB30" s="6"/>
      <c r="AC30" s="134"/>
      <c r="AE30" s="104"/>
      <c r="AF30" s="123" t="e">
        <f t="shared" ca="1" si="1"/>
        <v>#VALUE!</v>
      </c>
    </row>
    <row r="31" spans="1:32" ht="12.75" customHeight="1" outlineLevel="1">
      <c r="A31" s="134"/>
      <c r="B31" s="6"/>
      <c r="C31" s="160">
        <f>Classificacao!F52</f>
        <v>0</v>
      </c>
      <c r="D31" s="151">
        <v>0</v>
      </c>
      <c r="E31" s="153">
        <f ca="1">somaCodigo(1,Classificacao!D52)</f>
        <v>0</v>
      </c>
      <c r="F31" s="151">
        <v>0</v>
      </c>
      <c r="G31" s="153" t="e">
        <f ca="1">somaCodigo(2,Classificacao!D52)</f>
        <v>#VALUE!</v>
      </c>
      <c r="H31" s="151">
        <v>1170</v>
      </c>
      <c r="I31" s="153" t="e">
        <f ca="1">somaCodigo(3,Classificacao!D52)</f>
        <v>#VALUE!</v>
      </c>
      <c r="J31" s="151">
        <v>1170</v>
      </c>
      <c r="K31" s="153" t="e">
        <f ca="1">somaCodigo(4,Classificacao!D52)</f>
        <v>#VALUE!</v>
      </c>
      <c r="L31" s="151">
        <v>1170</v>
      </c>
      <c r="M31" s="153" t="e">
        <f ca="1">somaCodigo(5,Classificacao!D52)</f>
        <v>#VALUE!</v>
      </c>
      <c r="N31" s="151">
        <v>1170</v>
      </c>
      <c r="O31" s="153" t="e">
        <f ca="1">somaCodigo(6,Classificacao!D52)</f>
        <v>#VALUE!</v>
      </c>
      <c r="P31" s="151">
        <v>1170</v>
      </c>
      <c r="Q31" s="153" t="e">
        <f ca="1">somaCodigo(7,Classificacao!D52)</f>
        <v>#VALUE!</v>
      </c>
      <c r="R31" s="151">
        <v>1170</v>
      </c>
      <c r="S31" s="153" t="e">
        <f ca="1">somaCodigo(8,Classificacao!D52)</f>
        <v>#VALUE!</v>
      </c>
      <c r="T31" s="151">
        <v>1170</v>
      </c>
      <c r="U31" s="153" t="e">
        <f ca="1">somaCodigo(9,Classificacao!D52)</f>
        <v>#VALUE!</v>
      </c>
      <c r="V31" s="151">
        <v>1170</v>
      </c>
      <c r="W31" s="153" t="e">
        <f ca="1">somaCodigo(10,Classificacao!D52)</f>
        <v>#VALUE!</v>
      </c>
      <c r="X31" s="151">
        <v>1170</v>
      </c>
      <c r="Y31" s="153" t="e">
        <f ca="1">somaCodigo(11,Classificacao!D52)</f>
        <v>#VALUE!</v>
      </c>
      <c r="Z31" s="153" t="e">
        <f ca="1">somaCodigo(11,Classificacao!E52)</f>
        <v>#VALUE!</v>
      </c>
      <c r="AA31" s="153" t="e">
        <f ca="1">somaCodigo(12,Classificacao!D52)</f>
        <v>#VALUE!</v>
      </c>
      <c r="AB31" s="6"/>
      <c r="AC31" s="134"/>
      <c r="AE31" s="104"/>
      <c r="AF31" s="123" t="e">
        <f t="shared" ca="1" si="1"/>
        <v>#VALUE!</v>
      </c>
    </row>
    <row r="32" spans="1:32" ht="12.75" customHeight="1" outlineLevel="1">
      <c r="A32" s="134"/>
      <c r="B32" s="6"/>
      <c r="C32" s="160">
        <f>Classificacao!F53</f>
        <v>0</v>
      </c>
      <c r="D32" s="151">
        <v>0</v>
      </c>
      <c r="E32" s="153">
        <f ca="1">somaCodigo(1,Classificacao!D53)</f>
        <v>0</v>
      </c>
      <c r="F32" s="151">
        <v>0</v>
      </c>
      <c r="G32" s="153" t="e">
        <f ca="1">somaCodigo(2,Classificacao!D53)</f>
        <v>#VALUE!</v>
      </c>
      <c r="H32" s="151">
        <v>0</v>
      </c>
      <c r="I32" s="153" t="e">
        <f ca="1">somaCodigo(3,Classificacao!D53)</f>
        <v>#VALUE!</v>
      </c>
      <c r="J32" s="151">
        <v>0</v>
      </c>
      <c r="K32" s="153" t="e">
        <f ca="1">somaCodigo(4,Classificacao!D53)</f>
        <v>#VALUE!</v>
      </c>
      <c r="L32" s="151">
        <v>0</v>
      </c>
      <c r="M32" s="153" t="e">
        <f ca="1">somaCodigo(5,Classificacao!D53)</f>
        <v>#VALUE!</v>
      </c>
      <c r="N32" s="151">
        <v>0</v>
      </c>
      <c r="O32" s="153" t="e">
        <f ca="1">somaCodigo(6,Classificacao!D53)</f>
        <v>#VALUE!</v>
      </c>
      <c r="P32" s="151">
        <v>0</v>
      </c>
      <c r="Q32" s="153" t="e">
        <f ca="1">somaCodigo(7,Classificacao!D53)</f>
        <v>#VALUE!</v>
      </c>
      <c r="R32" s="151">
        <v>0</v>
      </c>
      <c r="S32" s="153" t="e">
        <f ca="1">somaCodigo(8,Classificacao!D53)</f>
        <v>#VALUE!</v>
      </c>
      <c r="T32" s="151">
        <v>0</v>
      </c>
      <c r="U32" s="153" t="e">
        <f ca="1">somaCodigo(9,Classificacao!D53)</f>
        <v>#VALUE!</v>
      </c>
      <c r="V32" s="151">
        <v>0</v>
      </c>
      <c r="W32" s="153" t="e">
        <f ca="1">somaCodigo(10,Classificacao!D53)</f>
        <v>#VALUE!</v>
      </c>
      <c r="X32" s="151">
        <v>0</v>
      </c>
      <c r="Y32" s="153" t="e">
        <f ca="1">somaCodigo(11,Classificacao!D53)</f>
        <v>#VALUE!</v>
      </c>
      <c r="Z32" s="153" t="e">
        <f ca="1">somaCodigo(11,Classificacao!E53)</f>
        <v>#VALUE!</v>
      </c>
      <c r="AA32" s="153" t="e">
        <f ca="1">somaCodigo(12,Classificacao!D53)</f>
        <v>#VALUE!</v>
      </c>
      <c r="AB32" s="6"/>
      <c r="AC32" s="134"/>
      <c r="AE32" s="104"/>
      <c r="AF32" s="123" t="e">
        <f t="shared" ca="1" si="1"/>
        <v>#VALUE!</v>
      </c>
    </row>
    <row r="33" spans="1:32" ht="12.75" customHeight="1" outlineLevel="1">
      <c r="A33" s="134"/>
      <c r="B33" s="6"/>
      <c r="C33" s="160">
        <f>Classificacao!F54</f>
        <v>0</v>
      </c>
      <c r="D33" s="151">
        <v>0</v>
      </c>
      <c r="E33" s="153">
        <f ca="1">somaCodigo(1,Classificacao!D54)</f>
        <v>0</v>
      </c>
      <c r="F33" s="151">
        <v>0</v>
      </c>
      <c r="G33" s="153" t="e">
        <f ca="1">somaCodigo(2,Classificacao!D54)</f>
        <v>#VALUE!</v>
      </c>
      <c r="H33" s="151">
        <v>0</v>
      </c>
      <c r="I33" s="153" t="e">
        <f ca="1">somaCodigo(3,Classificacao!D54)</f>
        <v>#VALUE!</v>
      </c>
      <c r="J33" s="151">
        <v>0</v>
      </c>
      <c r="K33" s="153" t="e">
        <f ca="1">somaCodigo(4,Classificacao!D54)</f>
        <v>#VALUE!</v>
      </c>
      <c r="L33" s="151">
        <v>0</v>
      </c>
      <c r="M33" s="153" t="e">
        <f ca="1">somaCodigo(5,Classificacao!D54)</f>
        <v>#VALUE!</v>
      </c>
      <c r="N33" s="151">
        <v>0</v>
      </c>
      <c r="O33" s="153" t="e">
        <f ca="1">somaCodigo(6,Classificacao!D54)</f>
        <v>#VALUE!</v>
      </c>
      <c r="P33" s="151">
        <v>0</v>
      </c>
      <c r="Q33" s="153" t="e">
        <f ca="1">somaCodigo(7,Classificacao!D54)</f>
        <v>#VALUE!</v>
      </c>
      <c r="R33" s="151">
        <v>0</v>
      </c>
      <c r="S33" s="153" t="e">
        <f ca="1">somaCodigo(8,Classificacao!D54)</f>
        <v>#VALUE!</v>
      </c>
      <c r="T33" s="151">
        <v>0</v>
      </c>
      <c r="U33" s="153" t="e">
        <f ca="1">somaCodigo(9,Classificacao!D54)</f>
        <v>#VALUE!</v>
      </c>
      <c r="V33" s="151">
        <v>0</v>
      </c>
      <c r="W33" s="153" t="e">
        <f ca="1">somaCodigo(10,Classificacao!D54)</f>
        <v>#VALUE!</v>
      </c>
      <c r="X33" s="151">
        <v>0</v>
      </c>
      <c r="Y33" s="153" t="e">
        <f ca="1">somaCodigo(11,Classificacao!D54)</f>
        <v>#VALUE!</v>
      </c>
      <c r="Z33" s="153" t="e">
        <f ca="1">somaCodigo(11,Classificacao!E54)</f>
        <v>#VALUE!</v>
      </c>
      <c r="AA33" s="153" t="e">
        <f ca="1">somaCodigo(12,Classificacao!D54)</f>
        <v>#VALUE!</v>
      </c>
      <c r="AB33" s="6"/>
      <c r="AC33" s="134"/>
      <c r="AE33" s="104"/>
      <c r="AF33" s="123" t="e">
        <f t="shared" ca="1" si="1"/>
        <v>#VALUE!</v>
      </c>
    </row>
    <row r="34" spans="1:32" ht="12.75" customHeight="1" outlineLevel="1">
      <c r="A34" s="134"/>
      <c r="B34" s="6"/>
      <c r="C34" s="160">
        <f>Classificacao!F55</f>
        <v>0</v>
      </c>
      <c r="D34" s="151">
        <v>0</v>
      </c>
      <c r="E34" s="153">
        <f ca="1">somaCodigo(1,Classificacao!D55)</f>
        <v>0</v>
      </c>
      <c r="F34" s="151">
        <v>0</v>
      </c>
      <c r="G34" s="153" t="e">
        <f ca="1">somaCodigo(2,Classificacao!D55)</f>
        <v>#VALUE!</v>
      </c>
      <c r="H34" s="151">
        <v>0</v>
      </c>
      <c r="I34" s="153" t="e">
        <f ca="1">somaCodigo(3,Classificacao!D55)</f>
        <v>#VALUE!</v>
      </c>
      <c r="J34" s="151">
        <v>0</v>
      </c>
      <c r="K34" s="153" t="e">
        <f ca="1">somaCodigo(4,Classificacao!D55)</f>
        <v>#VALUE!</v>
      </c>
      <c r="L34" s="151">
        <v>0</v>
      </c>
      <c r="M34" s="153" t="e">
        <f ca="1">somaCodigo(5,Classificacao!D55)</f>
        <v>#VALUE!</v>
      </c>
      <c r="N34" s="151">
        <v>0</v>
      </c>
      <c r="O34" s="153" t="e">
        <f ca="1">somaCodigo(6,Classificacao!D55)</f>
        <v>#VALUE!</v>
      </c>
      <c r="P34" s="151">
        <v>0</v>
      </c>
      <c r="Q34" s="153" t="e">
        <f ca="1">somaCodigo(7,Classificacao!D55)</f>
        <v>#VALUE!</v>
      </c>
      <c r="R34" s="151">
        <v>0</v>
      </c>
      <c r="S34" s="153" t="e">
        <f ca="1">somaCodigo(8,Classificacao!D55)</f>
        <v>#VALUE!</v>
      </c>
      <c r="T34" s="151">
        <v>0</v>
      </c>
      <c r="U34" s="153" t="e">
        <f ca="1">somaCodigo(9,Classificacao!D55)</f>
        <v>#VALUE!</v>
      </c>
      <c r="V34" s="151">
        <v>0</v>
      </c>
      <c r="W34" s="153" t="e">
        <f ca="1">somaCodigo(10,Classificacao!D55)</f>
        <v>#VALUE!</v>
      </c>
      <c r="X34" s="151">
        <v>0</v>
      </c>
      <c r="Y34" s="153" t="e">
        <f ca="1">somaCodigo(11,Classificacao!D55)</f>
        <v>#VALUE!</v>
      </c>
      <c r="Z34" s="153" t="e">
        <f ca="1">somaCodigo(11,Classificacao!E55)</f>
        <v>#VALUE!</v>
      </c>
      <c r="AA34" s="153" t="e">
        <f ca="1">somaCodigo(12,Classificacao!D55)</f>
        <v>#VALUE!</v>
      </c>
      <c r="AB34" s="6"/>
      <c r="AC34" s="134"/>
      <c r="AE34" s="104"/>
      <c r="AF34" s="123" t="e">
        <f t="shared" ca="1" si="1"/>
        <v>#VALUE!</v>
      </c>
    </row>
    <row r="35" spans="1:32" ht="12.75" customHeight="1" outlineLevel="1">
      <c r="A35" s="134"/>
      <c r="B35" s="6"/>
      <c r="C35" s="160"/>
      <c r="D35" s="151">
        <v>0</v>
      </c>
      <c r="E35" s="153">
        <f ca="1">somaCodigo(1,Classificacao!D56)</f>
        <v>0</v>
      </c>
      <c r="F35" s="151">
        <v>0</v>
      </c>
      <c r="G35" s="153" t="e">
        <f ca="1">somaCodigo(2,Classificacao!D56)</f>
        <v>#VALUE!</v>
      </c>
      <c r="H35" s="151">
        <v>0</v>
      </c>
      <c r="I35" s="153" t="e">
        <f ca="1">somaCodigo(3,Classificacao!D56)</f>
        <v>#VALUE!</v>
      </c>
      <c r="J35" s="151">
        <v>0</v>
      </c>
      <c r="K35" s="153" t="e">
        <f ca="1">somaCodigo(4,Classificacao!D56)</f>
        <v>#VALUE!</v>
      </c>
      <c r="L35" s="151">
        <v>0</v>
      </c>
      <c r="M35" s="153" t="e">
        <f ca="1">somaCodigo(5,Classificacao!D56)</f>
        <v>#VALUE!</v>
      </c>
      <c r="N35" s="151">
        <v>0</v>
      </c>
      <c r="O35" s="153" t="e">
        <f ca="1">somaCodigo(6,Classificacao!D56)</f>
        <v>#VALUE!</v>
      </c>
      <c r="P35" s="151">
        <v>0</v>
      </c>
      <c r="Q35" s="153" t="e">
        <f ca="1">somaCodigo(7,Classificacao!D56)</f>
        <v>#VALUE!</v>
      </c>
      <c r="R35" s="151">
        <v>0</v>
      </c>
      <c r="S35" s="153" t="e">
        <f ca="1">somaCodigo(8,Classificacao!D56)</f>
        <v>#VALUE!</v>
      </c>
      <c r="T35" s="151">
        <v>0</v>
      </c>
      <c r="U35" s="153" t="e">
        <f ca="1">somaCodigo(9,Classificacao!D56)</f>
        <v>#VALUE!</v>
      </c>
      <c r="V35" s="151">
        <v>0</v>
      </c>
      <c r="W35" s="153" t="e">
        <f ca="1">somaCodigo(10,Classificacao!D56)</f>
        <v>#VALUE!</v>
      </c>
      <c r="X35" s="151">
        <v>0</v>
      </c>
      <c r="Y35" s="153" t="e">
        <f ca="1">somaCodigo(11,Classificacao!D56)</f>
        <v>#VALUE!</v>
      </c>
      <c r="Z35" s="153" t="e">
        <f ca="1">somaCodigo(11,Classificacao!E56)</f>
        <v>#VALUE!</v>
      </c>
      <c r="AA35" s="153" t="e">
        <f ca="1">somaCodigo(12,Classificacao!D56)</f>
        <v>#VALUE!</v>
      </c>
      <c r="AB35" s="6"/>
      <c r="AC35" s="134"/>
      <c r="AE35" s="104"/>
      <c r="AF35" s="123" t="e">
        <f t="shared" ca="1" si="1"/>
        <v>#VALUE!</v>
      </c>
    </row>
    <row r="36" spans="1:32" s="120" customFormat="1" ht="12">
      <c r="A36" s="141"/>
      <c r="B36" s="5"/>
      <c r="C36" s="161" t="s">
        <v>165</v>
      </c>
      <c r="D36" s="154">
        <f>SUM(D37:D68)</f>
        <v>0</v>
      </c>
      <c r="E36" s="155">
        <f ca="1">SUM(E37:E68)</f>
        <v>0</v>
      </c>
      <c r="F36" s="154">
        <f>SUM(F37:F68)</f>
        <v>0</v>
      </c>
      <c r="G36" s="155" t="e">
        <f ca="1">SUM(G37:G68)</f>
        <v>#VALUE!</v>
      </c>
      <c r="H36" s="154">
        <f>SUM(H37:H68)</f>
        <v>1220</v>
      </c>
      <c r="I36" s="155" t="e">
        <f t="shared" ref="I36:AA36" ca="1" si="2">SUM(I37:I68)</f>
        <v>#VALUE!</v>
      </c>
      <c r="J36" s="154">
        <f>SUM(J37:J68)</f>
        <v>1190</v>
      </c>
      <c r="K36" s="155" t="e">
        <f t="shared" ca="1" si="2"/>
        <v>#VALUE!</v>
      </c>
      <c r="L36" s="154">
        <f t="shared" si="2"/>
        <v>1240</v>
      </c>
      <c r="M36" s="155" t="e">
        <f t="shared" ca="1" si="2"/>
        <v>#VALUE!</v>
      </c>
      <c r="N36" s="154">
        <f t="shared" si="2"/>
        <v>1240</v>
      </c>
      <c r="O36" s="155" t="e">
        <f t="shared" ca="1" si="2"/>
        <v>#VALUE!</v>
      </c>
      <c r="P36" s="154">
        <f t="shared" si="2"/>
        <v>1240</v>
      </c>
      <c r="Q36" s="155" t="e">
        <f ca="1">SUM(Q37:Q68)</f>
        <v>#VALUE!</v>
      </c>
      <c r="R36" s="154">
        <f t="shared" si="2"/>
        <v>1240</v>
      </c>
      <c r="S36" s="155" t="e">
        <f ca="1">SUM(S37:S68)</f>
        <v>#VALUE!</v>
      </c>
      <c r="T36" s="154">
        <f t="shared" si="2"/>
        <v>1240</v>
      </c>
      <c r="U36" s="155" t="e">
        <f ca="1">SUM(U37:U68)</f>
        <v>#VALUE!</v>
      </c>
      <c r="V36" s="154">
        <f t="shared" si="2"/>
        <v>1240</v>
      </c>
      <c r="W36" s="155" t="e">
        <f t="shared" ca="1" si="2"/>
        <v>#VALUE!</v>
      </c>
      <c r="X36" s="154">
        <f t="shared" si="2"/>
        <v>1240</v>
      </c>
      <c r="Y36" s="155" t="e">
        <f t="shared" ca="1" si="2"/>
        <v>#VALUE!</v>
      </c>
      <c r="Z36" s="154" t="e">
        <f t="shared" ca="1" si="2"/>
        <v>#VALUE!</v>
      </c>
      <c r="AA36" s="155" t="e">
        <f t="shared" ca="1" si="2"/>
        <v>#VALUE!</v>
      </c>
      <c r="AB36" s="5"/>
      <c r="AC36" s="141"/>
      <c r="AE36" s="142"/>
      <c r="AF36" s="143" t="e">
        <f ca="1">SUM(AF37:AF68)</f>
        <v>#VALUE!</v>
      </c>
    </row>
    <row r="37" spans="1:32" ht="12.75" customHeight="1" outlineLevel="1">
      <c r="A37" s="134"/>
      <c r="B37" s="6"/>
      <c r="C37" s="160" t="str">
        <f>Classificacao!F4</f>
        <v>NA</v>
      </c>
      <c r="D37" s="152">
        <v>0</v>
      </c>
      <c r="E37" s="153">
        <f ca="1">somaCodigoContaCorrente(1,Classificacao!D4)</f>
        <v>0</v>
      </c>
      <c r="F37" s="152">
        <v>0</v>
      </c>
      <c r="G37" s="153" t="e">
        <f ca="1">somaCodigoContaCorrente(2,Classificacao!D4)</f>
        <v>#VALUE!</v>
      </c>
      <c r="H37" s="152">
        <v>0</v>
      </c>
      <c r="I37" s="153" t="e">
        <f ca="1">somaCodigoContaCorrente(3,Classificacao!D4)</f>
        <v>#VALUE!</v>
      </c>
      <c r="J37" s="152">
        <v>0</v>
      </c>
      <c r="K37" s="153" t="e">
        <f ca="1">somaCodigoContaCorrente(4,Classificacao!D4)</f>
        <v>#VALUE!</v>
      </c>
      <c r="L37" s="152">
        <v>0</v>
      </c>
      <c r="M37" s="153" t="e">
        <f ca="1">somaCodigoContaCorrente(5,Classificacao!D4)</f>
        <v>#VALUE!</v>
      </c>
      <c r="N37" s="152">
        <v>0</v>
      </c>
      <c r="O37" s="153" t="e">
        <f ca="1">somaCodigoContaCorrente(6,Classificacao!D4)</f>
        <v>#VALUE!</v>
      </c>
      <c r="P37" s="152">
        <v>0</v>
      </c>
      <c r="Q37" s="153" t="e">
        <f ca="1">somaCodigoContaCorrente(7,Classificacao!D4)</f>
        <v>#VALUE!</v>
      </c>
      <c r="R37" s="152">
        <v>0</v>
      </c>
      <c r="S37" s="153" t="e">
        <f ca="1">somaCodigoContaCorrente(8,Classificacao!D4)</f>
        <v>#VALUE!</v>
      </c>
      <c r="T37" s="152">
        <v>0</v>
      </c>
      <c r="U37" s="153" t="e">
        <f ca="1">somaCodigoContaCorrente(9,Classificacao!D4)</f>
        <v>#VALUE!</v>
      </c>
      <c r="V37" s="152">
        <v>0</v>
      </c>
      <c r="W37" s="153" t="e">
        <f ca="1">somaCodigoContaCorrente(10,Classificacao!D4)</f>
        <v>#VALUE!</v>
      </c>
      <c r="X37" s="152">
        <v>0</v>
      </c>
      <c r="Y37" s="153" t="e">
        <f ca="1">somaCodigoContaCorrente(11,Classificacao!D4)</f>
        <v>#VALUE!</v>
      </c>
      <c r="Z37" s="153" t="e">
        <f ca="1">somaCodigoContaCorrente(11,Classificacao!E4)</f>
        <v>#VALUE!</v>
      </c>
      <c r="AA37" s="153" t="e">
        <f ca="1">somaCodigoContaCorrente(12,Classificacao!D4)</f>
        <v>#VALUE!</v>
      </c>
      <c r="AB37" s="6"/>
      <c r="AC37" s="134"/>
      <c r="AE37" s="105"/>
      <c r="AF37" s="124" t="e">
        <f t="shared" ca="1" si="1"/>
        <v>#VALUE!</v>
      </c>
    </row>
    <row r="38" spans="1:32" ht="12.75" customHeight="1" outlineLevel="1">
      <c r="A38" s="134"/>
      <c r="B38" s="6"/>
      <c r="C38" s="160" t="str">
        <f>Classificacao!F5</f>
        <v>Viagem</v>
      </c>
      <c r="D38" s="152">
        <v>0</v>
      </c>
      <c r="E38" s="153">
        <f ca="1">somaCodigoContaCorrente(1,Classificacao!D5)</f>
        <v>0</v>
      </c>
      <c r="F38" s="152">
        <v>0</v>
      </c>
      <c r="G38" s="153" t="e">
        <f ca="1">somaCodigoContaCorrente(2,Classificacao!D5)</f>
        <v>#VALUE!</v>
      </c>
      <c r="H38" s="152">
        <v>0</v>
      </c>
      <c r="I38" s="153" t="e">
        <f ca="1">somaCodigoContaCorrente(3,Classificacao!D5)</f>
        <v>#VALUE!</v>
      </c>
      <c r="J38" s="152">
        <v>0</v>
      </c>
      <c r="K38" s="153" t="e">
        <f ca="1">somaCodigoContaCorrente(4,Classificacao!D5)</f>
        <v>#VALUE!</v>
      </c>
      <c r="L38" s="152">
        <v>0</v>
      </c>
      <c r="M38" s="153" t="e">
        <f ca="1">somaCodigoContaCorrente(5,Classificacao!D5)</f>
        <v>#VALUE!</v>
      </c>
      <c r="N38" s="152">
        <v>0</v>
      </c>
      <c r="O38" s="153" t="e">
        <f ca="1">somaCodigoContaCorrente(6,Classificacao!D5)</f>
        <v>#VALUE!</v>
      </c>
      <c r="P38" s="152">
        <v>0</v>
      </c>
      <c r="Q38" s="153" t="e">
        <f ca="1">somaCodigoContaCorrente(7,Classificacao!D5)</f>
        <v>#VALUE!</v>
      </c>
      <c r="R38" s="152">
        <v>0</v>
      </c>
      <c r="S38" s="153" t="e">
        <f ca="1">somaCodigoContaCorrente(8,Classificacao!D5)</f>
        <v>#VALUE!</v>
      </c>
      <c r="T38" s="152">
        <v>0</v>
      </c>
      <c r="U38" s="153" t="e">
        <f ca="1">somaCodigoContaCorrente(9,Classificacao!D5)</f>
        <v>#VALUE!</v>
      </c>
      <c r="V38" s="152">
        <v>0</v>
      </c>
      <c r="W38" s="153" t="e">
        <f ca="1">somaCodigoContaCorrente(10,Classificacao!D5)</f>
        <v>#VALUE!</v>
      </c>
      <c r="X38" s="152">
        <v>0</v>
      </c>
      <c r="Y38" s="153" t="e">
        <f ca="1">somaCodigoContaCorrente(11,Classificacao!D5)</f>
        <v>#VALUE!</v>
      </c>
      <c r="Z38" s="153" t="e">
        <f ca="1">somaCodigoContaCorrente(11,Classificacao!E5)</f>
        <v>#VALUE!</v>
      </c>
      <c r="AA38" s="153" t="e">
        <f ca="1">somaCodigoContaCorrente(12,Classificacao!D5)</f>
        <v>#VALUE!</v>
      </c>
      <c r="AB38" s="6"/>
      <c r="AC38" s="134"/>
      <c r="AE38" s="105"/>
      <c r="AF38" s="124" t="e">
        <f t="shared" ca="1" si="1"/>
        <v>#VALUE!</v>
      </c>
    </row>
    <row r="39" spans="1:32" ht="12.75" customHeight="1" outlineLevel="1">
      <c r="A39" s="134"/>
      <c r="B39" s="6"/>
      <c r="C39" s="160" t="str">
        <f>Classificacao!F6</f>
        <v>Supermecado</v>
      </c>
      <c r="D39" s="152">
        <v>0</v>
      </c>
      <c r="E39" s="153">
        <f ca="1">somaCodigoContaCorrente(1,Classificacao!D6)</f>
        <v>0</v>
      </c>
      <c r="F39" s="152">
        <v>0</v>
      </c>
      <c r="G39" s="153" t="e">
        <f ca="1">somaCodigoContaCorrente(2,Classificacao!D6)</f>
        <v>#VALUE!</v>
      </c>
      <c r="H39" s="152">
        <v>0</v>
      </c>
      <c r="I39" s="153" t="e">
        <f ca="1">somaCodigoContaCorrente(3,Classificacao!D6)</f>
        <v>#VALUE!</v>
      </c>
      <c r="J39" s="152">
        <v>0</v>
      </c>
      <c r="K39" s="153" t="e">
        <f ca="1">somaCodigoContaCorrente(4,Classificacao!D6)</f>
        <v>#VALUE!</v>
      </c>
      <c r="L39" s="152">
        <v>0</v>
      </c>
      <c r="M39" s="153" t="e">
        <f ca="1">somaCodigoContaCorrente(5,Classificacao!D6)</f>
        <v>#VALUE!</v>
      </c>
      <c r="N39" s="152">
        <v>0</v>
      </c>
      <c r="O39" s="153" t="e">
        <f ca="1">somaCodigoContaCorrente(6,Classificacao!D6)</f>
        <v>#VALUE!</v>
      </c>
      <c r="P39" s="152">
        <v>0</v>
      </c>
      <c r="Q39" s="153" t="e">
        <f ca="1">somaCodigoContaCorrente(7,Classificacao!D6)</f>
        <v>#VALUE!</v>
      </c>
      <c r="R39" s="152">
        <v>0</v>
      </c>
      <c r="S39" s="153" t="e">
        <f ca="1">somaCodigoContaCorrente(8,Classificacao!D6)</f>
        <v>#VALUE!</v>
      </c>
      <c r="T39" s="152">
        <v>0</v>
      </c>
      <c r="U39" s="153" t="e">
        <f ca="1">somaCodigoContaCorrente(9,Classificacao!D6)</f>
        <v>#VALUE!</v>
      </c>
      <c r="V39" s="152">
        <v>0</v>
      </c>
      <c r="W39" s="153" t="e">
        <f ca="1">somaCodigoContaCorrente(10,Classificacao!D6)</f>
        <v>#VALUE!</v>
      </c>
      <c r="X39" s="152">
        <v>0</v>
      </c>
      <c r="Y39" s="153" t="e">
        <f ca="1">somaCodigoContaCorrente(11,Classificacao!D6)</f>
        <v>#VALUE!</v>
      </c>
      <c r="Z39" s="153" t="e">
        <f ca="1">somaCodigoContaCorrente(11,Classificacao!E6)</f>
        <v>#VALUE!</v>
      </c>
      <c r="AA39" s="153" t="e">
        <f ca="1">somaCodigoContaCorrente(12,Classificacao!D6)</f>
        <v>#VALUE!</v>
      </c>
      <c r="AB39" s="6"/>
      <c r="AC39" s="134"/>
      <c r="AE39" s="105"/>
      <c r="AF39" s="124" t="e">
        <f t="shared" ca="1" si="1"/>
        <v>#VALUE!</v>
      </c>
    </row>
    <row r="40" spans="1:32" ht="12.75" customHeight="1" outlineLevel="1">
      <c r="A40" s="134"/>
      <c r="B40" s="6"/>
      <c r="C40" s="160" t="str">
        <f>Classificacao!F7</f>
        <v>Jantar Fora</v>
      </c>
      <c r="D40" s="152">
        <v>0</v>
      </c>
      <c r="E40" s="153">
        <f ca="1">somaCodigoContaCorrente(1,Classificacao!D7)</f>
        <v>0</v>
      </c>
      <c r="F40" s="152">
        <v>0</v>
      </c>
      <c r="G40" s="153" t="e">
        <f ca="1">somaCodigoContaCorrente(2,Classificacao!D7)</f>
        <v>#VALUE!</v>
      </c>
      <c r="H40" s="152">
        <v>0</v>
      </c>
      <c r="I40" s="153" t="e">
        <f ca="1">somaCodigoContaCorrente(3,Classificacao!D7)</f>
        <v>#VALUE!</v>
      </c>
      <c r="J40" s="152">
        <v>0</v>
      </c>
      <c r="K40" s="153" t="e">
        <f ca="1">somaCodigoContaCorrente(4,Classificacao!D7)</f>
        <v>#VALUE!</v>
      </c>
      <c r="L40" s="152">
        <v>0</v>
      </c>
      <c r="M40" s="153" t="e">
        <f ca="1">somaCodigoContaCorrente(5,Classificacao!D7)</f>
        <v>#VALUE!</v>
      </c>
      <c r="N40" s="152">
        <v>0</v>
      </c>
      <c r="O40" s="153" t="e">
        <f ca="1">somaCodigoContaCorrente(6,Classificacao!D7)</f>
        <v>#VALUE!</v>
      </c>
      <c r="P40" s="152">
        <v>0</v>
      </c>
      <c r="Q40" s="153" t="e">
        <f ca="1">somaCodigoContaCorrente(7,Classificacao!D7)</f>
        <v>#VALUE!</v>
      </c>
      <c r="R40" s="152">
        <v>0</v>
      </c>
      <c r="S40" s="153" t="e">
        <f ca="1">somaCodigoContaCorrente(8,Classificacao!D7)</f>
        <v>#VALUE!</v>
      </c>
      <c r="T40" s="152">
        <v>0</v>
      </c>
      <c r="U40" s="153" t="e">
        <f ca="1">somaCodigoContaCorrente(9,Classificacao!D7)</f>
        <v>#VALUE!</v>
      </c>
      <c r="V40" s="152">
        <v>0</v>
      </c>
      <c r="W40" s="153" t="e">
        <f ca="1">somaCodigoContaCorrente(10,Classificacao!D7)</f>
        <v>#VALUE!</v>
      </c>
      <c r="X40" s="152">
        <v>0</v>
      </c>
      <c r="Y40" s="153" t="e">
        <f ca="1">somaCodigoContaCorrente(11,Classificacao!D7)</f>
        <v>#VALUE!</v>
      </c>
      <c r="Z40" s="153" t="e">
        <f ca="1">somaCodigoContaCorrente(11,Classificacao!E7)</f>
        <v>#VALUE!</v>
      </c>
      <c r="AA40" s="153" t="e">
        <f ca="1">somaCodigoContaCorrente(12,Classificacao!D7)</f>
        <v>#VALUE!</v>
      </c>
      <c r="AB40" s="6"/>
      <c r="AC40" s="134"/>
      <c r="AE40" s="105"/>
      <c r="AF40" s="124" t="e">
        <f t="shared" ca="1" si="1"/>
        <v>#VALUE!</v>
      </c>
    </row>
    <row r="41" spans="1:32" ht="12.75" customHeight="1" outlineLevel="1">
      <c r="A41" s="134"/>
      <c r="B41" s="6"/>
      <c r="C41" s="160" t="str">
        <f>Classificacao!F8</f>
        <v>Presentes</v>
      </c>
      <c r="D41" s="152">
        <v>0</v>
      </c>
      <c r="E41" s="153">
        <f ca="1">somaCodigoContaCorrente(1,Classificacao!D8)</f>
        <v>0</v>
      </c>
      <c r="F41" s="152">
        <v>0</v>
      </c>
      <c r="G41" s="153" t="e">
        <f ca="1">somaCodigoContaCorrente(2,Classificacao!D8)</f>
        <v>#VALUE!</v>
      </c>
      <c r="H41" s="152">
        <v>0</v>
      </c>
      <c r="I41" s="153" t="e">
        <f ca="1">somaCodigoContaCorrente(3,Classificacao!D8)</f>
        <v>#VALUE!</v>
      </c>
      <c r="J41" s="152">
        <v>0</v>
      </c>
      <c r="K41" s="153" t="e">
        <f ca="1">somaCodigoContaCorrente(4,Classificacao!D8)</f>
        <v>#VALUE!</v>
      </c>
      <c r="L41" s="152">
        <v>0</v>
      </c>
      <c r="M41" s="153" t="e">
        <f ca="1">somaCodigoContaCorrente(5,Classificacao!D8)</f>
        <v>#VALUE!</v>
      </c>
      <c r="N41" s="152">
        <v>0</v>
      </c>
      <c r="O41" s="153" t="e">
        <f ca="1">somaCodigoContaCorrente(6,Classificacao!D8)</f>
        <v>#VALUE!</v>
      </c>
      <c r="P41" s="152">
        <v>0</v>
      </c>
      <c r="Q41" s="153" t="e">
        <f ca="1">somaCodigoContaCorrente(7,Classificacao!D8)</f>
        <v>#VALUE!</v>
      </c>
      <c r="R41" s="152">
        <v>0</v>
      </c>
      <c r="S41" s="153" t="e">
        <f ca="1">somaCodigoContaCorrente(8,Classificacao!D8)</f>
        <v>#VALUE!</v>
      </c>
      <c r="T41" s="152">
        <v>0</v>
      </c>
      <c r="U41" s="153" t="e">
        <f ca="1">somaCodigoContaCorrente(9,Classificacao!D8)</f>
        <v>#VALUE!</v>
      </c>
      <c r="V41" s="152">
        <v>0</v>
      </c>
      <c r="W41" s="153" t="e">
        <f ca="1">somaCodigoContaCorrente(10,Classificacao!D8)</f>
        <v>#VALUE!</v>
      </c>
      <c r="X41" s="152">
        <v>0</v>
      </c>
      <c r="Y41" s="153" t="e">
        <f ca="1">somaCodigoContaCorrente(11,Classificacao!D8)</f>
        <v>#VALUE!</v>
      </c>
      <c r="Z41" s="153" t="e">
        <f ca="1">somaCodigoContaCorrente(11,Classificacao!E8)</f>
        <v>#VALUE!</v>
      </c>
      <c r="AA41" s="153" t="e">
        <f ca="1">somaCodigoContaCorrente(12,Classificacao!D8)</f>
        <v>#VALUE!</v>
      </c>
      <c r="AB41" s="6"/>
      <c r="AC41" s="134"/>
      <c r="AE41" s="105"/>
      <c r="AF41" s="124" t="e">
        <f t="shared" ca="1" si="1"/>
        <v>#VALUE!</v>
      </c>
    </row>
    <row r="42" spans="1:32" ht="12.75" customHeight="1" outlineLevel="1">
      <c r="A42" s="134"/>
      <c r="B42" s="6"/>
      <c r="C42" s="160" t="str">
        <f>Classificacao!F9</f>
        <v>Salão</v>
      </c>
      <c r="D42" s="152">
        <v>0</v>
      </c>
      <c r="E42" s="153">
        <f ca="1">somaCodigoContaCorrente(1,Classificacao!D9)</f>
        <v>0</v>
      </c>
      <c r="F42" s="152">
        <v>0</v>
      </c>
      <c r="G42" s="153" t="e">
        <f ca="1">somaCodigoContaCorrente(2,Classificacao!D9)</f>
        <v>#VALUE!</v>
      </c>
      <c r="H42" s="152">
        <v>180</v>
      </c>
      <c r="I42" s="153" t="e">
        <f ca="1">somaCodigoContaCorrente(3,Classificacao!D9)</f>
        <v>#VALUE!</v>
      </c>
      <c r="J42" s="152">
        <v>150</v>
      </c>
      <c r="K42" s="153" t="e">
        <f ca="1">somaCodigoContaCorrente(4,Classificacao!D9)</f>
        <v>#VALUE!</v>
      </c>
      <c r="L42" s="152">
        <v>200</v>
      </c>
      <c r="M42" s="153" t="e">
        <f ca="1">somaCodigoContaCorrente(5,Classificacao!D9)</f>
        <v>#VALUE!</v>
      </c>
      <c r="N42" s="152">
        <v>200</v>
      </c>
      <c r="O42" s="153" t="e">
        <f ca="1">somaCodigoContaCorrente(6,Classificacao!D9)</f>
        <v>#VALUE!</v>
      </c>
      <c r="P42" s="152">
        <v>200</v>
      </c>
      <c r="Q42" s="153" t="e">
        <f ca="1">somaCodigoContaCorrente(7,Classificacao!D9)</f>
        <v>#VALUE!</v>
      </c>
      <c r="R42" s="152">
        <v>200</v>
      </c>
      <c r="S42" s="153" t="e">
        <f ca="1">somaCodigoContaCorrente(8,Classificacao!D9)</f>
        <v>#VALUE!</v>
      </c>
      <c r="T42" s="152">
        <v>200</v>
      </c>
      <c r="U42" s="153" t="e">
        <f ca="1">somaCodigoContaCorrente(9,Classificacao!D9)</f>
        <v>#VALUE!</v>
      </c>
      <c r="V42" s="152">
        <v>200</v>
      </c>
      <c r="W42" s="153" t="e">
        <f ca="1">somaCodigoContaCorrente(10,Classificacao!D9)</f>
        <v>#VALUE!</v>
      </c>
      <c r="X42" s="152">
        <v>200</v>
      </c>
      <c r="Y42" s="153" t="e">
        <f ca="1">somaCodigoContaCorrente(11,Classificacao!D9)</f>
        <v>#VALUE!</v>
      </c>
      <c r="Z42" s="153" t="e">
        <f ca="1">somaCodigoContaCorrente(11,Classificacao!E9)</f>
        <v>#VALUE!</v>
      </c>
      <c r="AA42" s="153" t="e">
        <f ca="1">somaCodigoContaCorrente(12,Classificacao!D9)</f>
        <v>#VALUE!</v>
      </c>
      <c r="AB42" s="6"/>
      <c r="AC42" s="134"/>
      <c r="AE42" s="105"/>
      <c r="AF42" s="124" t="e">
        <f t="shared" ca="1" si="1"/>
        <v>#VALUE!</v>
      </c>
    </row>
    <row r="43" spans="1:32" ht="12.75" customHeight="1" outlineLevel="1">
      <c r="A43" s="134"/>
      <c r="B43" s="6"/>
      <c r="C43" s="160" t="str">
        <f>Classificacao!F10</f>
        <v>Artigos para casa</v>
      </c>
      <c r="D43" s="152">
        <v>0</v>
      </c>
      <c r="E43" s="153">
        <f ca="1">somaCodigoContaCorrente(1,Classificacao!D10)</f>
        <v>0</v>
      </c>
      <c r="F43" s="152">
        <v>0</v>
      </c>
      <c r="G43" s="153" t="e">
        <f ca="1">somaCodigoContaCorrente(2,Classificacao!D10)</f>
        <v>#VALUE!</v>
      </c>
      <c r="H43" s="152">
        <v>0</v>
      </c>
      <c r="I43" s="153" t="e">
        <f ca="1">somaCodigoContaCorrente(3,Classificacao!D10)</f>
        <v>#VALUE!</v>
      </c>
      <c r="J43" s="152">
        <v>0</v>
      </c>
      <c r="K43" s="153" t="e">
        <f ca="1">somaCodigoContaCorrente(4,Classificacao!D10)</f>
        <v>#VALUE!</v>
      </c>
      <c r="L43" s="152">
        <v>0</v>
      </c>
      <c r="M43" s="153" t="e">
        <f ca="1">somaCodigoContaCorrente(5,Classificacao!D10)</f>
        <v>#VALUE!</v>
      </c>
      <c r="N43" s="152">
        <v>0</v>
      </c>
      <c r="O43" s="153" t="e">
        <f ca="1">somaCodigoContaCorrente(6,Classificacao!D10)</f>
        <v>#VALUE!</v>
      </c>
      <c r="P43" s="152">
        <v>0</v>
      </c>
      <c r="Q43" s="153" t="e">
        <f ca="1">somaCodigoContaCorrente(7,Classificacao!D10)</f>
        <v>#VALUE!</v>
      </c>
      <c r="R43" s="152">
        <v>0</v>
      </c>
      <c r="S43" s="153" t="e">
        <f ca="1">somaCodigoContaCorrente(8,Classificacao!D10)</f>
        <v>#VALUE!</v>
      </c>
      <c r="T43" s="152">
        <v>0</v>
      </c>
      <c r="U43" s="153" t="e">
        <f ca="1">somaCodigoContaCorrente(9,Classificacao!D10)</f>
        <v>#VALUE!</v>
      </c>
      <c r="V43" s="152">
        <v>0</v>
      </c>
      <c r="W43" s="153" t="e">
        <f ca="1">somaCodigoContaCorrente(10,Classificacao!D10)</f>
        <v>#VALUE!</v>
      </c>
      <c r="X43" s="152">
        <v>0</v>
      </c>
      <c r="Y43" s="153" t="e">
        <f ca="1">somaCodigoContaCorrente(11,Classificacao!D10)</f>
        <v>#VALUE!</v>
      </c>
      <c r="Z43" s="153" t="e">
        <f ca="1">somaCodigoContaCorrente(11,Classificacao!E10)</f>
        <v>#VALUE!</v>
      </c>
      <c r="AA43" s="153" t="e">
        <f ca="1">somaCodigoContaCorrente(12,Classificacao!D10)</f>
        <v>#VALUE!</v>
      </c>
      <c r="AB43" s="6"/>
      <c r="AC43" s="134"/>
      <c r="AE43" s="105"/>
      <c r="AF43" s="124" t="e">
        <f t="shared" ca="1" si="1"/>
        <v>#VALUE!</v>
      </c>
    </row>
    <row r="44" spans="1:32" ht="12.75" customHeight="1" outlineLevel="1">
      <c r="A44" s="134"/>
      <c r="B44" s="6"/>
      <c r="C44" s="160" t="str">
        <f>Classificacao!F11</f>
        <v>Informática</v>
      </c>
      <c r="D44" s="152">
        <v>0</v>
      </c>
      <c r="E44" s="153">
        <f ca="1">somaCodigoContaCorrente(1,Classificacao!D11)</f>
        <v>0</v>
      </c>
      <c r="F44" s="152">
        <v>0</v>
      </c>
      <c r="G44" s="153" t="e">
        <f ca="1">somaCodigoContaCorrente(2,Classificacao!D11)</f>
        <v>#VALUE!</v>
      </c>
      <c r="H44" s="152">
        <v>0</v>
      </c>
      <c r="I44" s="153" t="e">
        <f ca="1">somaCodigoContaCorrente(3,Classificacao!D11)</f>
        <v>#VALUE!</v>
      </c>
      <c r="J44" s="152">
        <v>0</v>
      </c>
      <c r="K44" s="153" t="e">
        <f ca="1">somaCodigoContaCorrente(4,Classificacao!D11)</f>
        <v>#VALUE!</v>
      </c>
      <c r="L44" s="152">
        <v>0</v>
      </c>
      <c r="M44" s="153" t="e">
        <f ca="1">somaCodigoContaCorrente(5,Classificacao!D11)</f>
        <v>#VALUE!</v>
      </c>
      <c r="N44" s="152">
        <v>0</v>
      </c>
      <c r="O44" s="153" t="e">
        <f ca="1">somaCodigoContaCorrente(6,Classificacao!D11)</f>
        <v>#VALUE!</v>
      </c>
      <c r="P44" s="152">
        <v>0</v>
      </c>
      <c r="Q44" s="153" t="e">
        <f ca="1">somaCodigoContaCorrente(7,Classificacao!D11)</f>
        <v>#VALUE!</v>
      </c>
      <c r="R44" s="152">
        <v>0</v>
      </c>
      <c r="S44" s="153" t="e">
        <f ca="1">somaCodigoContaCorrente(8,Classificacao!D11)</f>
        <v>#VALUE!</v>
      </c>
      <c r="T44" s="152">
        <v>0</v>
      </c>
      <c r="U44" s="153" t="e">
        <f ca="1">somaCodigoContaCorrente(9,Classificacao!D11)</f>
        <v>#VALUE!</v>
      </c>
      <c r="V44" s="152">
        <v>0</v>
      </c>
      <c r="W44" s="153" t="e">
        <f ca="1">somaCodigoContaCorrente(10,Classificacao!D11)</f>
        <v>#VALUE!</v>
      </c>
      <c r="X44" s="152">
        <v>0</v>
      </c>
      <c r="Y44" s="153" t="e">
        <f ca="1">somaCodigoContaCorrente(11,Classificacao!D11)</f>
        <v>#VALUE!</v>
      </c>
      <c r="Z44" s="153" t="e">
        <f ca="1">somaCodigoContaCorrente(11,Classificacao!E11)</f>
        <v>#VALUE!</v>
      </c>
      <c r="AA44" s="153" t="e">
        <f ca="1">somaCodigoContaCorrente(12,Classificacao!D11)</f>
        <v>#VALUE!</v>
      </c>
      <c r="AB44" s="6"/>
      <c r="AC44" s="134"/>
      <c r="AE44" s="105"/>
      <c r="AF44" s="124" t="e">
        <f t="shared" ca="1" si="1"/>
        <v>#VALUE!</v>
      </c>
    </row>
    <row r="45" spans="1:32" ht="12.75" customHeight="1" outlineLevel="1">
      <c r="A45" s="134"/>
      <c r="B45" s="6"/>
      <c r="C45" s="160">
        <f>Classificacao!F12</f>
        <v>0</v>
      </c>
      <c r="D45" s="152">
        <v>0</v>
      </c>
      <c r="E45" s="153">
        <f ca="1">somaCodigoContaCorrente(1,Classificacao!D12)</f>
        <v>0</v>
      </c>
      <c r="F45" s="152">
        <v>0</v>
      </c>
      <c r="G45" s="153" t="e">
        <f ca="1">somaCodigoContaCorrente(2,Classificacao!D12)</f>
        <v>#VALUE!</v>
      </c>
      <c r="H45" s="152">
        <v>0</v>
      </c>
      <c r="I45" s="153" t="e">
        <f ca="1">somaCodigoContaCorrente(3,Classificacao!D12)</f>
        <v>#VALUE!</v>
      </c>
      <c r="J45" s="152">
        <v>0</v>
      </c>
      <c r="K45" s="153" t="e">
        <f ca="1">somaCodigoContaCorrente(4,Classificacao!D12)</f>
        <v>#VALUE!</v>
      </c>
      <c r="L45" s="152">
        <v>0</v>
      </c>
      <c r="M45" s="153" t="e">
        <f ca="1">somaCodigoContaCorrente(5,Classificacao!D12)</f>
        <v>#VALUE!</v>
      </c>
      <c r="N45" s="152">
        <v>0</v>
      </c>
      <c r="O45" s="153" t="e">
        <f ca="1">somaCodigoContaCorrente(6,Classificacao!D12)</f>
        <v>#VALUE!</v>
      </c>
      <c r="P45" s="152">
        <v>0</v>
      </c>
      <c r="Q45" s="153" t="e">
        <f ca="1">somaCodigoContaCorrente(7,Classificacao!D12)</f>
        <v>#VALUE!</v>
      </c>
      <c r="R45" s="152">
        <v>0</v>
      </c>
      <c r="S45" s="153" t="e">
        <f ca="1">somaCodigoContaCorrente(8,Classificacao!D12)</f>
        <v>#VALUE!</v>
      </c>
      <c r="T45" s="152">
        <v>0</v>
      </c>
      <c r="U45" s="153" t="e">
        <f ca="1">somaCodigoContaCorrente(9,Classificacao!D12)</f>
        <v>#VALUE!</v>
      </c>
      <c r="V45" s="152">
        <v>0</v>
      </c>
      <c r="W45" s="153" t="e">
        <f ca="1">somaCodigoContaCorrente(10,Classificacao!D12)</f>
        <v>#VALUE!</v>
      </c>
      <c r="X45" s="152">
        <v>0</v>
      </c>
      <c r="Y45" s="153" t="e">
        <f ca="1">somaCodigoContaCorrente(11,Classificacao!D12)</f>
        <v>#VALUE!</v>
      </c>
      <c r="Z45" s="153" t="e">
        <f ca="1">somaCodigoContaCorrente(11,Classificacao!E12)</f>
        <v>#VALUE!</v>
      </c>
      <c r="AA45" s="153" t="e">
        <f ca="1">somaCodigoContaCorrente(12,Classificacao!D12)</f>
        <v>#VALUE!</v>
      </c>
      <c r="AB45" s="6"/>
      <c r="AC45" s="134"/>
      <c r="AE45" s="105"/>
      <c r="AF45" s="124" t="e">
        <f t="shared" ca="1" si="1"/>
        <v>#VALUE!</v>
      </c>
    </row>
    <row r="46" spans="1:32" ht="12.75" customHeight="1" outlineLevel="1">
      <c r="A46" s="134"/>
      <c r="B46" s="6"/>
      <c r="C46" s="160">
        <f>Classificacao!F13</f>
        <v>0</v>
      </c>
      <c r="D46" s="152">
        <v>0</v>
      </c>
      <c r="E46" s="153">
        <f ca="1">somaCodigoContaCorrente(1,Classificacao!D13)</f>
        <v>0</v>
      </c>
      <c r="F46" s="152">
        <v>0</v>
      </c>
      <c r="G46" s="153" t="e">
        <f ca="1">somaCodigoContaCorrente(2,Classificacao!D13)</f>
        <v>#VALUE!</v>
      </c>
      <c r="H46" s="152">
        <v>0</v>
      </c>
      <c r="I46" s="153" t="e">
        <f ca="1">somaCodigoContaCorrente(3,Classificacao!D13)</f>
        <v>#VALUE!</v>
      </c>
      <c r="J46" s="152">
        <v>0</v>
      </c>
      <c r="K46" s="153" t="e">
        <f ca="1">somaCodigoContaCorrente(4,Classificacao!D13)</f>
        <v>#VALUE!</v>
      </c>
      <c r="L46" s="152">
        <v>0</v>
      </c>
      <c r="M46" s="153" t="e">
        <f ca="1">somaCodigoContaCorrente(5,Classificacao!D13)</f>
        <v>#VALUE!</v>
      </c>
      <c r="N46" s="152">
        <v>0</v>
      </c>
      <c r="O46" s="153" t="e">
        <f ca="1">somaCodigoContaCorrente(6,Classificacao!D13)</f>
        <v>#VALUE!</v>
      </c>
      <c r="P46" s="152">
        <v>0</v>
      </c>
      <c r="Q46" s="153" t="e">
        <f ca="1">somaCodigoContaCorrente(7,Classificacao!D13)</f>
        <v>#VALUE!</v>
      </c>
      <c r="R46" s="152">
        <v>0</v>
      </c>
      <c r="S46" s="153" t="e">
        <f ca="1">somaCodigoContaCorrente(8,Classificacao!D13)</f>
        <v>#VALUE!</v>
      </c>
      <c r="T46" s="152">
        <v>0</v>
      </c>
      <c r="U46" s="153" t="e">
        <f ca="1">somaCodigoContaCorrente(9,Classificacao!D13)</f>
        <v>#VALUE!</v>
      </c>
      <c r="V46" s="152">
        <v>0</v>
      </c>
      <c r="W46" s="153" t="e">
        <f ca="1">somaCodigoContaCorrente(10,Classificacao!D13)</f>
        <v>#VALUE!</v>
      </c>
      <c r="X46" s="152">
        <v>0</v>
      </c>
      <c r="Y46" s="153" t="e">
        <f ca="1">somaCodigoContaCorrente(11,Classificacao!D13)</f>
        <v>#VALUE!</v>
      </c>
      <c r="Z46" s="153" t="e">
        <f ca="1">somaCodigoContaCorrente(11,Classificacao!E13)</f>
        <v>#VALUE!</v>
      </c>
      <c r="AA46" s="153" t="e">
        <f ca="1">somaCodigoContaCorrente(12,Classificacao!D13)</f>
        <v>#VALUE!</v>
      </c>
      <c r="AB46" s="6"/>
      <c r="AC46" s="134"/>
      <c r="AE46" s="105"/>
      <c r="AF46" s="124" t="e">
        <f t="shared" ca="1" si="1"/>
        <v>#VALUE!</v>
      </c>
    </row>
    <row r="47" spans="1:32" ht="12.75" customHeight="1" outlineLevel="1">
      <c r="A47" s="134"/>
      <c r="B47" s="6"/>
      <c r="C47" s="160">
        <f>Classificacao!F14</f>
        <v>0</v>
      </c>
      <c r="D47" s="152">
        <v>0</v>
      </c>
      <c r="E47" s="153">
        <f ca="1">somaCodigoContaCorrente(1,Classificacao!D14)</f>
        <v>0</v>
      </c>
      <c r="F47" s="152">
        <v>0</v>
      </c>
      <c r="G47" s="153" t="e">
        <f ca="1">somaCodigoContaCorrente(2,Classificacao!D14)</f>
        <v>#VALUE!</v>
      </c>
      <c r="H47" s="152">
        <v>0</v>
      </c>
      <c r="I47" s="153" t="e">
        <f ca="1">somaCodigoContaCorrente(3,Classificacao!D14)</f>
        <v>#VALUE!</v>
      </c>
      <c r="J47" s="152">
        <v>0</v>
      </c>
      <c r="K47" s="153" t="e">
        <f ca="1">somaCodigoContaCorrente(4,Classificacao!D14)</f>
        <v>#VALUE!</v>
      </c>
      <c r="L47" s="152">
        <v>0</v>
      </c>
      <c r="M47" s="153" t="e">
        <f ca="1">somaCodigoContaCorrente(5,Classificacao!D14)</f>
        <v>#VALUE!</v>
      </c>
      <c r="N47" s="152">
        <v>0</v>
      </c>
      <c r="O47" s="153" t="e">
        <f ca="1">somaCodigoContaCorrente(6,Classificacao!D14)</f>
        <v>#VALUE!</v>
      </c>
      <c r="P47" s="152">
        <v>0</v>
      </c>
      <c r="Q47" s="153" t="e">
        <f ca="1">somaCodigoContaCorrente(7,Classificacao!D14)</f>
        <v>#VALUE!</v>
      </c>
      <c r="R47" s="152">
        <v>0</v>
      </c>
      <c r="S47" s="153" t="e">
        <f ca="1">somaCodigoContaCorrente(8,Classificacao!D14)</f>
        <v>#VALUE!</v>
      </c>
      <c r="T47" s="152">
        <v>0</v>
      </c>
      <c r="U47" s="153" t="e">
        <f ca="1">somaCodigoContaCorrente(9,Classificacao!D14)</f>
        <v>#VALUE!</v>
      </c>
      <c r="V47" s="152">
        <v>0</v>
      </c>
      <c r="W47" s="153" t="e">
        <f ca="1">somaCodigoContaCorrente(10,Classificacao!D14)</f>
        <v>#VALUE!</v>
      </c>
      <c r="X47" s="152">
        <v>0</v>
      </c>
      <c r="Y47" s="153" t="e">
        <f ca="1">somaCodigoContaCorrente(11,Classificacao!D14)</f>
        <v>#VALUE!</v>
      </c>
      <c r="Z47" s="153" t="e">
        <f ca="1">somaCodigoContaCorrente(11,Classificacao!E14)</f>
        <v>#VALUE!</v>
      </c>
      <c r="AA47" s="153" t="e">
        <f ca="1">somaCodigoContaCorrente(12,Classificacao!D14)</f>
        <v>#VALUE!</v>
      </c>
      <c r="AB47" s="6"/>
      <c r="AC47" s="134"/>
      <c r="AE47" s="105"/>
      <c r="AF47" s="124" t="e">
        <f t="shared" ca="1" si="1"/>
        <v>#VALUE!</v>
      </c>
    </row>
    <row r="48" spans="1:32" ht="12.75" customHeight="1" outlineLevel="1">
      <c r="A48" s="134"/>
      <c r="B48" s="6"/>
      <c r="C48" s="160">
        <f>Classificacao!F15</f>
        <v>0</v>
      </c>
      <c r="D48" s="152">
        <v>0</v>
      </c>
      <c r="E48" s="153">
        <f ca="1">somaCodigoContaCorrente(1,Classificacao!D15)</f>
        <v>0</v>
      </c>
      <c r="F48" s="152">
        <v>0</v>
      </c>
      <c r="G48" s="153" t="e">
        <f ca="1">somaCodigoContaCorrente(2,Classificacao!D15)</f>
        <v>#VALUE!</v>
      </c>
      <c r="H48" s="152">
        <v>0</v>
      </c>
      <c r="I48" s="153" t="e">
        <f ca="1">somaCodigoContaCorrente(3,Classificacao!D15)</f>
        <v>#VALUE!</v>
      </c>
      <c r="J48" s="152">
        <v>0</v>
      </c>
      <c r="K48" s="153" t="e">
        <f ca="1">somaCodigoContaCorrente(4,Classificacao!D15)</f>
        <v>#VALUE!</v>
      </c>
      <c r="L48" s="152">
        <v>0</v>
      </c>
      <c r="M48" s="153" t="e">
        <f ca="1">somaCodigoContaCorrente(5,Classificacao!D15)</f>
        <v>#VALUE!</v>
      </c>
      <c r="N48" s="152">
        <v>0</v>
      </c>
      <c r="O48" s="153" t="e">
        <f ca="1">somaCodigoContaCorrente(6,Classificacao!D15)</f>
        <v>#VALUE!</v>
      </c>
      <c r="P48" s="152">
        <v>0</v>
      </c>
      <c r="Q48" s="153" t="e">
        <f ca="1">somaCodigoContaCorrente(7,Classificacao!D15)</f>
        <v>#VALUE!</v>
      </c>
      <c r="R48" s="152">
        <v>0</v>
      </c>
      <c r="S48" s="153" t="e">
        <f ca="1">somaCodigoContaCorrente(8,Classificacao!D15)</f>
        <v>#VALUE!</v>
      </c>
      <c r="T48" s="152">
        <v>0</v>
      </c>
      <c r="U48" s="153" t="e">
        <f ca="1">somaCodigoContaCorrente(9,Classificacao!D15)</f>
        <v>#VALUE!</v>
      </c>
      <c r="V48" s="152">
        <v>0</v>
      </c>
      <c r="W48" s="153" t="e">
        <f ca="1">somaCodigoContaCorrente(10,Classificacao!D15)</f>
        <v>#VALUE!</v>
      </c>
      <c r="X48" s="152">
        <v>0</v>
      </c>
      <c r="Y48" s="153" t="e">
        <f ca="1">somaCodigoContaCorrente(11,Classificacao!D15)</f>
        <v>#VALUE!</v>
      </c>
      <c r="Z48" s="153" t="e">
        <f ca="1">somaCodigoContaCorrente(11,Classificacao!E15)</f>
        <v>#VALUE!</v>
      </c>
      <c r="AA48" s="153" t="e">
        <f ca="1">somaCodigoContaCorrente(12,Classificacao!D15)</f>
        <v>#VALUE!</v>
      </c>
      <c r="AB48" s="6"/>
      <c r="AC48" s="134"/>
      <c r="AE48" s="105"/>
      <c r="AF48" s="124" t="e">
        <f t="shared" ca="1" si="1"/>
        <v>#VALUE!</v>
      </c>
    </row>
    <row r="49" spans="1:32" ht="12.75" customHeight="1" outlineLevel="1">
      <c r="A49" s="134"/>
      <c r="B49" s="6"/>
      <c r="C49" s="160">
        <f>Classificacao!F16</f>
        <v>0</v>
      </c>
      <c r="D49" s="152">
        <v>0</v>
      </c>
      <c r="E49" s="153">
        <f ca="1">somaCodigoContaCorrente(1,Classificacao!D16)</f>
        <v>0</v>
      </c>
      <c r="F49" s="152">
        <v>0</v>
      </c>
      <c r="G49" s="153" t="e">
        <f ca="1">somaCodigoContaCorrente(2,Classificacao!D16)</f>
        <v>#VALUE!</v>
      </c>
      <c r="H49" s="152">
        <v>0</v>
      </c>
      <c r="I49" s="153" t="e">
        <f ca="1">somaCodigoContaCorrente(3,Classificacao!D16)</f>
        <v>#VALUE!</v>
      </c>
      <c r="J49" s="152">
        <v>0</v>
      </c>
      <c r="K49" s="153" t="e">
        <f ca="1">somaCodigoContaCorrente(4,Classificacao!D16)</f>
        <v>#VALUE!</v>
      </c>
      <c r="L49" s="152">
        <v>0</v>
      </c>
      <c r="M49" s="153" t="e">
        <f ca="1">somaCodigoContaCorrente(5,Classificacao!D16)</f>
        <v>#VALUE!</v>
      </c>
      <c r="N49" s="152">
        <v>0</v>
      </c>
      <c r="O49" s="153" t="e">
        <f ca="1">somaCodigoContaCorrente(6,Classificacao!D16)</f>
        <v>#VALUE!</v>
      </c>
      <c r="P49" s="152">
        <v>0</v>
      </c>
      <c r="Q49" s="153" t="e">
        <f ca="1">somaCodigoContaCorrente(7,Classificacao!D16)</f>
        <v>#VALUE!</v>
      </c>
      <c r="R49" s="152">
        <v>0</v>
      </c>
      <c r="S49" s="153" t="e">
        <f ca="1">somaCodigoContaCorrente(8,Classificacao!D16)</f>
        <v>#VALUE!</v>
      </c>
      <c r="T49" s="152">
        <v>0</v>
      </c>
      <c r="U49" s="153" t="e">
        <f ca="1">somaCodigoContaCorrente(9,Classificacao!D16)</f>
        <v>#VALUE!</v>
      </c>
      <c r="V49" s="152">
        <v>0</v>
      </c>
      <c r="W49" s="153" t="e">
        <f ca="1">somaCodigoContaCorrente(10,Classificacao!D16)</f>
        <v>#VALUE!</v>
      </c>
      <c r="X49" s="152">
        <v>0</v>
      </c>
      <c r="Y49" s="153" t="e">
        <f ca="1">somaCodigoContaCorrente(11,Classificacao!D16)</f>
        <v>#VALUE!</v>
      </c>
      <c r="Z49" s="153" t="e">
        <f ca="1">somaCodigoContaCorrente(11,Classificacao!E16)</f>
        <v>#VALUE!</v>
      </c>
      <c r="AA49" s="153" t="e">
        <f ca="1">somaCodigoContaCorrente(12,Classificacao!D16)</f>
        <v>#VALUE!</v>
      </c>
      <c r="AB49" s="6"/>
      <c r="AC49" s="134"/>
      <c r="AE49" s="105"/>
      <c r="AF49" s="124" t="e">
        <f t="shared" ca="1" si="1"/>
        <v>#VALUE!</v>
      </c>
    </row>
    <row r="50" spans="1:32" ht="12.75" customHeight="1" outlineLevel="1">
      <c r="A50" s="134"/>
      <c r="B50" s="6"/>
      <c r="C50" s="160">
        <f>Classificacao!F17</f>
        <v>0</v>
      </c>
      <c r="D50" s="152">
        <v>0</v>
      </c>
      <c r="E50" s="153">
        <f ca="1">somaCodigoContaCorrente(1,Classificacao!D17)</f>
        <v>0</v>
      </c>
      <c r="F50" s="152">
        <v>0</v>
      </c>
      <c r="G50" s="153" t="e">
        <f ca="1">somaCodigoContaCorrente(2,Classificacao!D17)</f>
        <v>#VALUE!</v>
      </c>
      <c r="H50" s="152">
        <v>0</v>
      </c>
      <c r="I50" s="153" t="e">
        <f ca="1">somaCodigoContaCorrente(3,Classificacao!D17)</f>
        <v>#VALUE!</v>
      </c>
      <c r="J50" s="152">
        <v>0</v>
      </c>
      <c r="K50" s="153" t="e">
        <f ca="1">somaCodigoContaCorrente(4,Classificacao!D17)</f>
        <v>#VALUE!</v>
      </c>
      <c r="L50" s="152">
        <v>0</v>
      </c>
      <c r="M50" s="153" t="e">
        <f ca="1">somaCodigoContaCorrente(5,Classificacao!D17)</f>
        <v>#VALUE!</v>
      </c>
      <c r="N50" s="152">
        <v>0</v>
      </c>
      <c r="O50" s="153" t="e">
        <f ca="1">somaCodigoContaCorrente(6,Classificacao!D17)</f>
        <v>#VALUE!</v>
      </c>
      <c r="P50" s="152">
        <v>0</v>
      </c>
      <c r="Q50" s="153" t="e">
        <f ca="1">somaCodigoContaCorrente(7,Classificacao!D17)</f>
        <v>#VALUE!</v>
      </c>
      <c r="R50" s="152">
        <v>0</v>
      </c>
      <c r="S50" s="153" t="e">
        <f ca="1">somaCodigoContaCorrente(8,Classificacao!D17)</f>
        <v>#VALUE!</v>
      </c>
      <c r="T50" s="152">
        <v>0</v>
      </c>
      <c r="U50" s="153" t="e">
        <f ca="1">somaCodigoContaCorrente(9,Classificacao!D17)</f>
        <v>#VALUE!</v>
      </c>
      <c r="V50" s="152">
        <v>0</v>
      </c>
      <c r="W50" s="153" t="e">
        <f ca="1">somaCodigoContaCorrente(10,Classificacao!D17)</f>
        <v>#VALUE!</v>
      </c>
      <c r="X50" s="152">
        <v>0</v>
      </c>
      <c r="Y50" s="153" t="e">
        <f ca="1">somaCodigoContaCorrente(11,Classificacao!D17)</f>
        <v>#VALUE!</v>
      </c>
      <c r="Z50" s="153" t="e">
        <f ca="1">somaCodigoContaCorrente(11,Classificacao!E17)</f>
        <v>#VALUE!</v>
      </c>
      <c r="AA50" s="153" t="e">
        <f ca="1">somaCodigoContaCorrente(12,Classificacao!D17)</f>
        <v>#VALUE!</v>
      </c>
      <c r="AB50" s="6"/>
      <c r="AC50" s="134"/>
      <c r="AE50" s="105"/>
      <c r="AF50" s="124" t="e">
        <f t="shared" ca="1" si="1"/>
        <v>#VALUE!</v>
      </c>
    </row>
    <row r="51" spans="1:32" ht="12.75" customHeight="1" outlineLevel="1">
      <c r="A51" s="134"/>
      <c r="B51" s="6"/>
      <c r="C51" s="160">
        <f>Classificacao!F18</f>
        <v>0</v>
      </c>
      <c r="D51" s="152">
        <v>0</v>
      </c>
      <c r="E51" s="153">
        <f ca="1">somaCodigoContaCorrente(1,Classificacao!D18)</f>
        <v>0</v>
      </c>
      <c r="F51" s="152">
        <v>0</v>
      </c>
      <c r="G51" s="153" t="e">
        <f ca="1">somaCodigoContaCorrente(2,Classificacao!D18)</f>
        <v>#VALUE!</v>
      </c>
      <c r="H51" s="152">
        <v>250</v>
      </c>
      <c r="I51" s="153" t="e">
        <f ca="1">somaCodigoContaCorrente(3,Classificacao!D18)</f>
        <v>#VALUE!</v>
      </c>
      <c r="J51" s="152">
        <v>250</v>
      </c>
      <c r="K51" s="153" t="e">
        <f ca="1">somaCodigoContaCorrente(4,Classificacao!D18)</f>
        <v>#VALUE!</v>
      </c>
      <c r="L51" s="152">
        <v>250</v>
      </c>
      <c r="M51" s="153" t="e">
        <f ca="1">somaCodigoContaCorrente(5,Classificacao!D18)</f>
        <v>#VALUE!</v>
      </c>
      <c r="N51" s="152">
        <v>250</v>
      </c>
      <c r="O51" s="153" t="e">
        <f ca="1">somaCodigoContaCorrente(6,Classificacao!D18)</f>
        <v>#VALUE!</v>
      </c>
      <c r="P51" s="152">
        <v>250</v>
      </c>
      <c r="Q51" s="153" t="e">
        <f ca="1">somaCodigoContaCorrente(7,Classificacao!D18)</f>
        <v>#VALUE!</v>
      </c>
      <c r="R51" s="152">
        <v>250</v>
      </c>
      <c r="S51" s="153" t="e">
        <f ca="1">somaCodigoContaCorrente(8,Classificacao!D18)</f>
        <v>#VALUE!</v>
      </c>
      <c r="T51" s="152">
        <v>250</v>
      </c>
      <c r="U51" s="153" t="e">
        <f ca="1">somaCodigoContaCorrente(9,Classificacao!D18)</f>
        <v>#VALUE!</v>
      </c>
      <c r="V51" s="152">
        <v>250</v>
      </c>
      <c r="W51" s="153" t="e">
        <f ca="1">somaCodigoContaCorrente(10,Classificacao!D18)</f>
        <v>#VALUE!</v>
      </c>
      <c r="X51" s="152">
        <v>250</v>
      </c>
      <c r="Y51" s="153" t="e">
        <f ca="1">somaCodigoContaCorrente(11,Classificacao!D18)</f>
        <v>#VALUE!</v>
      </c>
      <c r="Z51" s="153" t="e">
        <f ca="1">somaCodigoContaCorrente(11,Classificacao!E18)</f>
        <v>#VALUE!</v>
      </c>
      <c r="AA51" s="153" t="e">
        <f ca="1">somaCodigoContaCorrente(12,Classificacao!D18)</f>
        <v>#VALUE!</v>
      </c>
      <c r="AB51" s="6"/>
      <c r="AC51" s="134"/>
      <c r="AE51" s="105"/>
      <c r="AF51" s="124" t="e">
        <f t="shared" ca="1" si="1"/>
        <v>#VALUE!</v>
      </c>
    </row>
    <row r="52" spans="1:32" ht="12.75" customHeight="1" outlineLevel="1">
      <c r="A52" s="134"/>
      <c r="B52" s="6"/>
      <c r="C52" s="160">
        <f>Classificacao!F19</f>
        <v>0</v>
      </c>
      <c r="D52" s="152">
        <v>0</v>
      </c>
      <c r="E52" s="153">
        <f ca="1">somaCodigoContaCorrente(1,Classificacao!D19)</f>
        <v>0</v>
      </c>
      <c r="F52" s="152">
        <v>0</v>
      </c>
      <c r="G52" s="153" t="e">
        <f ca="1">somaCodigoContaCorrente(2,Classificacao!D19)</f>
        <v>#VALUE!</v>
      </c>
      <c r="H52" s="152">
        <f>4*160+150</f>
        <v>790</v>
      </c>
      <c r="I52" s="153" t="e">
        <f ca="1">somaCodigoContaCorrente(3,Classificacao!D19)</f>
        <v>#VALUE!</v>
      </c>
      <c r="J52" s="152">
        <v>790</v>
      </c>
      <c r="K52" s="153" t="e">
        <f ca="1">somaCodigoContaCorrente(4,Classificacao!D19)</f>
        <v>#VALUE!</v>
      </c>
      <c r="L52" s="152">
        <v>790</v>
      </c>
      <c r="M52" s="153" t="e">
        <f ca="1">somaCodigoContaCorrente(5,Classificacao!D19)</f>
        <v>#VALUE!</v>
      </c>
      <c r="N52" s="152">
        <v>790</v>
      </c>
      <c r="O52" s="153" t="e">
        <f ca="1">somaCodigoContaCorrente(6,Classificacao!D19)</f>
        <v>#VALUE!</v>
      </c>
      <c r="P52" s="152">
        <v>790</v>
      </c>
      <c r="Q52" s="153" t="e">
        <f ca="1">somaCodigoContaCorrente(7,Classificacao!D19)</f>
        <v>#VALUE!</v>
      </c>
      <c r="R52" s="152">
        <v>790</v>
      </c>
      <c r="S52" s="153" t="e">
        <f ca="1">somaCodigoContaCorrente(8,Classificacao!D19)</f>
        <v>#VALUE!</v>
      </c>
      <c r="T52" s="152">
        <v>790</v>
      </c>
      <c r="U52" s="153" t="e">
        <f ca="1">somaCodigoContaCorrente(9,Classificacao!D19)</f>
        <v>#VALUE!</v>
      </c>
      <c r="V52" s="152">
        <v>790</v>
      </c>
      <c r="W52" s="153" t="e">
        <f ca="1">somaCodigoContaCorrente(10,Classificacao!D19)</f>
        <v>#VALUE!</v>
      </c>
      <c r="X52" s="152">
        <v>790</v>
      </c>
      <c r="Y52" s="153" t="e">
        <f ca="1">somaCodigoContaCorrente(11,Classificacao!D19)</f>
        <v>#VALUE!</v>
      </c>
      <c r="Z52" s="153" t="e">
        <f ca="1">somaCodigoContaCorrente(11,Classificacao!E19)</f>
        <v>#VALUE!</v>
      </c>
      <c r="AA52" s="153" t="e">
        <f ca="1">somaCodigoContaCorrente(12,Classificacao!D19)</f>
        <v>#VALUE!</v>
      </c>
      <c r="AB52" s="6"/>
      <c r="AC52" s="134"/>
      <c r="AE52" s="105"/>
      <c r="AF52" s="124" t="e">
        <f t="shared" ca="1" si="1"/>
        <v>#VALUE!</v>
      </c>
    </row>
    <row r="53" spans="1:32" ht="12.75" customHeight="1" outlineLevel="1">
      <c r="A53" s="134"/>
      <c r="B53" s="6"/>
      <c r="C53" s="160">
        <f>Classificacao!F20</f>
        <v>0</v>
      </c>
      <c r="D53" s="152">
        <v>0</v>
      </c>
      <c r="E53" s="153">
        <f ca="1">somaCodigoContaCorrente(1,Classificacao!D20)</f>
        <v>0</v>
      </c>
      <c r="F53" s="152">
        <v>0</v>
      </c>
      <c r="G53" s="153" t="e">
        <f ca="1">somaCodigoContaCorrente(2,Classificacao!D20)</f>
        <v>#VALUE!</v>
      </c>
      <c r="H53" s="152">
        <v>0</v>
      </c>
      <c r="I53" s="153" t="e">
        <f ca="1">somaCodigoContaCorrente(3,Classificacao!D20)</f>
        <v>#VALUE!</v>
      </c>
      <c r="J53" s="152">
        <v>0</v>
      </c>
      <c r="K53" s="153" t="e">
        <f ca="1">somaCodigoContaCorrente(4,Classificacao!D20)</f>
        <v>#VALUE!</v>
      </c>
      <c r="L53" s="152">
        <v>0</v>
      </c>
      <c r="M53" s="153" t="e">
        <f ca="1">somaCodigoContaCorrente(5,Classificacao!D20)</f>
        <v>#VALUE!</v>
      </c>
      <c r="N53" s="152">
        <v>0</v>
      </c>
      <c r="O53" s="153" t="e">
        <f ca="1">somaCodigoContaCorrente(6,Classificacao!D20)</f>
        <v>#VALUE!</v>
      </c>
      <c r="P53" s="152">
        <v>0</v>
      </c>
      <c r="Q53" s="153" t="e">
        <f ca="1">somaCodigoContaCorrente(7,Classificacao!D20)</f>
        <v>#VALUE!</v>
      </c>
      <c r="R53" s="152">
        <v>0</v>
      </c>
      <c r="S53" s="153" t="e">
        <f ca="1">somaCodigoContaCorrente(8,Classificacao!D20)</f>
        <v>#VALUE!</v>
      </c>
      <c r="T53" s="152">
        <v>0</v>
      </c>
      <c r="U53" s="153" t="e">
        <f ca="1">somaCodigoContaCorrente(9,Classificacao!D20)</f>
        <v>#VALUE!</v>
      </c>
      <c r="V53" s="152">
        <v>0</v>
      </c>
      <c r="W53" s="153" t="e">
        <f ca="1">somaCodigoContaCorrente(10,Classificacao!D20)</f>
        <v>#VALUE!</v>
      </c>
      <c r="X53" s="152">
        <v>0</v>
      </c>
      <c r="Y53" s="153" t="e">
        <f ca="1">somaCodigoContaCorrente(11,Classificacao!D20)</f>
        <v>#VALUE!</v>
      </c>
      <c r="Z53" s="153" t="e">
        <f ca="1">somaCodigoContaCorrente(11,Classificacao!E20)</f>
        <v>#VALUE!</v>
      </c>
      <c r="AA53" s="153" t="e">
        <f ca="1">somaCodigoContaCorrente(12,Classificacao!D20)</f>
        <v>#VALUE!</v>
      </c>
      <c r="AB53" s="6"/>
      <c r="AC53" s="134"/>
      <c r="AE53" s="105"/>
      <c r="AF53" s="124" t="e">
        <f t="shared" ca="1" si="1"/>
        <v>#VALUE!</v>
      </c>
    </row>
    <row r="54" spans="1:32" ht="12.75" customHeight="1" outlineLevel="1">
      <c r="A54" s="134"/>
      <c r="B54" s="6"/>
      <c r="C54" s="160">
        <f>Classificacao!F21</f>
        <v>0</v>
      </c>
      <c r="D54" s="152">
        <v>0</v>
      </c>
      <c r="E54" s="153">
        <f ca="1">somaCodigoContaCorrente(1,Classificacao!D21)</f>
        <v>0</v>
      </c>
      <c r="F54" s="152">
        <v>0</v>
      </c>
      <c r="G54" s="153" t="e">
        <f ca="1">somaCodigoContaCorrente(2,Classificacao!D21)</f>
        <v>#VALUE!</v>
      </c>
      <c r="H54" s="152">
        <v>0</v>
      </c>
      <c r="I54" s="153" t="e">
        <f ca="1">somaCodigoContaCorrente(3,Classificacao!D21)</f>
        <v>#VALUE!</v>
      </c>
      <c r="J54" s="152">
        <v>0</v>
      </c>
      <c r="K54" s="153" t="e">
        <f ca="1">somaCodigoContaCorrente(4,Classificacao!D21)</f>
        <v>#VALUE!</v>
      </c>
      <c r="L54" s="152">
        <v>0</v>
      </c>
      <c r="M54" s="153" t="e">
        <f ca="1">somaCodigoContaCorrente(5,Classificacao!D21)</f>
        <v>#VALUE!</v>
      </c>
      <c r="N54" s="152">
        <v>0</v>
      </c>
      <c r="O54" s="153" t="e">
        <f ca="1">somaCodigoContaCorrente(6,Classificacao!D21)</f>
        <v>#VALUE!</v>
      </c>
      <c r="P54" s="152">
        <v>0</v>
      </c>
      <c r="Q54" s="153" t="e">
        <f ca="1">somaCodigoContaCorrente(7,Classificacao!D21)</f>
        <v>#VALUE!</v>
      </c>
      <c r="R54" s="152">
        <v>0</v>
      </c>
      <c r="S54" s="153" t="e">
        <f ca="1">somaCodigoContaCorrente(8,Classificacao!D21)</f>
        <v>#VALUE!</v>
      </c>
      <c r="T54" s="152">
        <v>0</v>
      </c>
      <c r="U54" s="153" t="e">
        <f ca="1">somaCodigoContaCorrente(9,Classificacao!D21)</f>
        <v>#VALUE!</v>
      </c>
      <c r="V54" s="152">
        <v>0</v>
      </c>
      <c r="W54" s="153" t="e">
        <f ca="1">somaCodigoContaCorrente(10,Classificacao!D21)</f>
        <v>#VALUE!</v>
      </c>
      <c r="X54" s="152">
        <v>0</v>
      </c>
      <c r="Y54" s="153" t="e">
        <f ca="1">somaCodigoContaCorrente(11,Classificacao!D21)</f>
        <v>#VALUE!</v>
      </c>
      <c r="Z54" s="153" t="e">
        <f ca="1">somaCodigoContaCorrente(11,Classificacao!E21)</f>
        <v>#VALUE!</v>
      </c>
      <c r="AA54" s="153" t="e">
        <f ca="1">somaCodigoContaCorrente(12,Classificacao!D21)</f>
        <v>#VALUE!</v>
      </c>
      <c r="AB54" s="6"/>
      <c r="AC54" s="134"/>
      <c r="AE54" s="105"/>
      <c r="AF54" s="124" t="e">
        <f t="shared" ca="1" si="1"/>
        <v>#VALUE!</v>
      </c>
    </row>
    <row r="55" spans="1:32" ht="12.75" customHeight="1" outlineLevel="1">
      <c r="A55" s="134"/>
      <c r="B55" s="6"/>
      <c r="C55" s="160">
        <f>Classificacao!F22</f>
        <v>0</v>
      </c>
      <c r="D55" s="152">
        <v>0</v>
      </c>
      <c r="E55" s="153">
        <f ca="1">somaCodigoContaCorrente(1,Classificacao!D22)</f>
        <v>0</v>
      </c>
      <c r="F55" s="152">
        <v>0</v>
      </c>
      <c r="G55" s="153" t="e">
        <f ca="1">somaCodigoContaCorrente(2,Classificacao!D22)</f>
        <v>#VALUE!</v>
      </c>
      <c r="H55" s="152">
        <v>0</v>
      </c>
      <c r="I55" s="153" t="e">
        <f ca="1">somaCodigoContaCorrente(3,Classificacao!D22)</f>
        <v>#VALUE!</v>
      </c>
      <c r="J55" s="152">
        <v>0</v>
      </c>
      <c r="K55" s="153" t="e">
        <f ca="1">somaCodigoContaCorrente(4,Classificacao!D22)</f>
        <v>#VALUE!</v>
      </c>
      <c r="L55" s="152">
        <v>0</v>
      </c>
      <c r="M55" s="153" t="e">
        <f ca="1">somaCodigoContaCorrente(5,Classificacao!D22)</f>
        <v>#VALUE!</v>
      </c>
      <c r="N55" s="152">
        <v>0</v>
      </c>
      <c r="O55" s="153" t="e">
        <f ca="1">somaCodigoContaCorrente(6,Classificacao!D22)</f>
        <v>#VALUE!</v>
      </c>
      <c r="P55" s="152">
        <v>0</v>
      </c>
      <c r="Q55" s="153" t="e">
        <f ca="1">somaCodigoContaCorrente(7,Classificacao!D22)</f>
        <v>#VALUE!</v>
      </c>
      <c r="R55" s="152">
        <v>0</v>
      </c>
      <c r="S55" s="153" t="e">
        <f ca="1">somaCodigoContaCorrente(8,Classificacao!D22)</f>
        <v>#VALUE!</v>
      </c>
      <c r="T55" s="152">
        <v>0</v>
      </c>
      <c r="U55" s="153" t="e">
        <f ca="1">somaCodigoContaCorrente(9,Classificacao!D22)</f>
        <v>#VALUE!</v>
      </c>
      <c r="V55" s="152">
        <v>0</v>
      </c>
      <c r="W55" s="153" t="e">
        <f ca="1">somaCodigoContaCorrente(10,Classificacao!D22)</f>
        <v>#VALUE!</v>
      </c>
      <c r="X55" s="152">
        <v>0</v>
      </c>
      <c r="Y55" s="153" t="e">
        <f ca="1">somaCodigoContaCorrente(11,Classificacao!D22)</f>
        <v>#VALUE!</v>
      </c>
      <c r="Z55" s="153" t="e">
        <f ca="1">somaCodigoContaCorrente(11,Classificacao!E22)</f>
        <v>#VALUE!</v>
      </c>
      <c r="AA55" s="153" t="e">
        <f ca="1">somaCodigoContaCorrente(12,Classificacao!D22)</f>
        <v>#VALUE!</v>
      </c>
      <c r="AB55" s="6"/>
      <c r="AC55" s="134"/>
      <c r="AE55" s="105"/>
      <c r="AF55" s="124" t="e">
        <f t="shared" ca="1" si="1"/>
        <v>#VALUE!</v>
      </c>
    </row>
    <row r="56" spans="1:32" ht="12.75" customHeight="1" outlineLevel="1">
      <c r="A56" s="134"/>
      <c r="B56" s="6"/>
      <c r="C56" s="160">
        <f>Classificacao!F23</f>
        <v>0</v>
      </c>
      <c r="D56" s="152">
        <v>0</v>
      </c>
      <c r="E56" s="153">
        <f ca="1">somaCodigoContaCorrente(1,Classificacao!D23)</f>
        <v>0</v>
      </c>
      <c r="F56" s="152">
        <v>0</v>
      </c>
      <c r="G56" s="153" t="e">
        <f ca="1">somaCodigoContaCorrente(2,Classificacao!D23)</f>
        <v>#VALUE!</v>
      </c>
      <c r="H56" s="152">
        <v>0</v>
      </c>
      <c r="I56" s="153" t="e">
        <f ca="1">somaCodigoContaCorrente(3,Classificacao!D23)</f>
        <v>#VALUE!</v>
      </c>
      <c r="J56" s="152">
        <v>0</v>
      </c>
      <c r="K56" s="153" t="e">
        <f ca="1">somaCodigoContaCorrente(4,Classificacao!D23)</f>
        <v>#VALUE!</v>
      </c>
      <c r="L56" s="152">
        <v>0</v>
      </c>
      <c r="M56" s="153" t="e">
        <f ca="1">somaCodigoContaCorrente(5,Classificacao!D23)</f>
        <v>#VALUE!</v>
      </c>
      <c r="N56" s="152">
        <v>0</v>
      </c>
      <c r="O56" s="153" t="e">
        <f ca="1">somaCodigoContaCorrente(6,Classificacao!D23)</f>
        <v>#VALUE!</v>
      </c>
      <c r="P56" s="152">
        <v>0</v>
      </c>
      <c r="Q56" s="153" t="e">
        <f ca="1">somaCodigoContaCorrente(7,Classificacao!D23)</f>
        <v>#VALUE!</v>
      </c>
      <c r="R56" s="152">
        <v>0</v>
      </c>
      <c r="S56" s="153" t="e">
        <f ca="1">somaCodigoContaCorrente(8,Classificacao!D23)</f>
        <v>#VALUE!</v>
      </c>
      <c r="T56" s="152">
        <v>0</v>
      </c>
      <c r="U56" s="153" t="e">
        <f ca="1">somaCodigoContaCorrente(9,Classificacao!D23)</f>
        <v>#VALUE!</v>
      </c>
      <c r="V56" s="152">
        <v>0</v>
      </c>
      <c r="W56" s="153" t="e">
        <f ca="1">somaCodigoContaCorrente(10,Classificacao!D23)</f>
        <v>#VALUE!</v>
      </c>
      <c r="X56" s="152">
        <v>0</v>
      </c>
      <c r="Y56" s="153" t="e">
        <f ca="1">somaCodigoContaCorrente(11,Classificacao!D23)</f>
        <v>#VALUE!</v>
      </c>
      <c r="Z56" s="153" t="e">
        <f ca="1">somaCodigoContaCorrente(11,Classificacao!E23)</f>
        <v>#VALUE!</v>
      </c>
      <c r="AA56" s="153" t="e">
        <f ca="1">somaCodigoContaCorrente(12,Classificacao!D23)</f>
        <v>#VALUE!</v>
      </c>
      <c r="AB56" s="6"/>
      <c r="AC56" s="134"/>
      <c r="AE56" s="105"/>
      <c r="AF56" s="124" t="e">
        <f t="shared" ca="1" si="1"/>
        <v>#VALUE!</v>
      </c>
    </row>
    <row r="57" spans="1:32" ht="12.75" customHeight="1" outlineLevel="1">
      <c r="A57" s="134"/>
      <c r="B57" s="6"/>
      <c r="C57" s="160">
        <f>Classificacao!F24</f>
        <v>0</v>
      </c>
      <c r="D57" s="152">
        <v>0</v>
      </c>
      <c r="E57" s="153">
        <f ca="1">somaCodigoContaCorrente(1,Classificacao!D24)</f>
        <v>0</v>
      </c>
      <c r="F57" s="152">
        <v>0</v>
      </c>
      <c r="G57" s="153" t="e">
        <f ca="1">somaCodigoContaCorrente(2,Classificacao!D24)</f>
        <v>#VALUE!</v>
      </c>
      <c r="H57" s="152">
        <v>0</v>
      </c>
      <c r="I57" s="153" t="e">
        <f ca="1">somaCodigoContaCorrente(3,Classificacao!D24)</f>
        <v>#VALUE!</v>
      </c>
      <c r="J57" s="152">
        <v>0</v>
      </c>
      <c r="K57" s="153" t="e">
        <f ca="1">somaCodigoContaCorrente(4,Classificacao!D24)</f>
        <v>#VALUE!</v>
      </c>
      <c r="L57" s="152">
        <v>0</v>
      </c>
      <c r="M57" s="153" t="e">
        <f ca="1">somaCodigoContaCorrente(5,Classificacao!D24)</f>
        <v>#VALUE!</v>
      </c>
      <c r="N57" s="152">
        <v>0</v>
      </c>
      <c r="O57" s="153" t="e">
        <f ca="1">somaCodigoContaCorrente(6,Classificacao!D24)</f>
        <v>#VALUE!</v>
      </c>
      <c r="P57" s="152">
        <v>0</v>
      </c>
      <c r="Q57" s="153" t="e">
        <f ca="1">somaCodigoContaCorrente(7,Classificacao!D24)</f>
        <v>#VALUE!</v>
      </c>
      <c r="R57" s="152">
        <v>0</v>
      </c>
      <c r="S57" s="153" t="e">
        <f ca="1">somaCodigoContaCorrente(8,Classificacao!D24)</f>
        <v>#VALUE!</v>
      </c>
      <c r="T57" s="152">
        <v>0</v>
      </c>
      <c r="U57" s="153" t="e">
        <f ca="1">somaCodigoContaCorrente(9,Classificacao!D24)</f>
        <v>#VALUE!</v>
      </c>
      <c r="V57" s="152">
        <v>0</v>
      </c>
      <c r="W57" s="153" t="e">
        <f ca="1">somaCodigoContaCorrente(10,Classificacao!D24)</f>
        <v>#VALUE!</v>
      </c>
      <c r="X57" s="152">
        <v>0</v>
      </c>
      <c r="Y57" s="153" t="e">
        <f ca="1">somaCodigoContaCorrente(11,Classificacao!D24)</f>
        <v>#VALUE!</v>
      </c>
      <c r="Z57" s="153" t="e">
        <f ca="1">somaCodigoContaCorrente(11,Classificacao!E24)</f>
        <v>#VALUE!</v>
      </c>
      <c r="AA57" s="153" t="e">
        <f ca="1">somaCodigoContaCorrente(12,Classificacao!D24)</f>
        <v>#VALUE!</v>
      </c>
      <c r="AB57" s="6"/>
      <c r="AC57" s="134"/>
      <c r="AE57" s="105"/>
      <c r="AF57" s="124" t="e">
        <f t="shared" ca="1" si="1"/>
        <v>#VALUE!</v>
      </c>
    </row>
    <row r="58" spans="1:32" ht="12.75" customHeight="1" outlineLevel="1">
      <c r="A58" s="134"/>
      <c r="B58" s="6"/>
      <c r="C58" s="160">
        <f>Classificacao!F25</f>
        <v>0</v>
      </c>
      <c r="D58" s="152">
        <v>0</v>
      </c>
      <c r="E58" s="153">
        <f ca="1">somaCodigoContaCorrente(1,Classificacao!D25)</f>
        <v>0</v>
      </c>
      <c r="F58" s="152">
        <v>0</v>
      </c>
      <c r="G58" s="153" t="e">
        <f ca="1">somaCodigoContaCorrente(2,Classificacao!D25)</f>
        <v>#VALUE!</v>
      </c>
      <c r="H58" s="152">
        <v>0</v>
      </c>
      <c r="I58" s="153" t="e">
        <f ca="1">somaCodigoContaCorrente(3,Classificacao!D25)</f>
        <v>#VALUE!</v>
      </c>
      <c r="J58" s="152">
        <v>0</v>
      </c>
      <c r="K58" s="153" t="e">
        <f ca="1">somaCodigoContaCorrente(4,Classificacao!D25)</f>
        <v>#VALUE!</v>
      </c>
      <c r="L58" s="152">
        <v>0</v>
      </c>
      <c r="M58" s="153" t="e">
        <f ca="1">somaCodigoContaCorrente(5,Classificacao!D25)</f>
        <v>#VALUE!</v>
      </c>
      <c r="N58" s="152">
        <v>0</v>
      </c>
      <c r="O58" s="153" t="e">
        <f ca="1">somaCodigoContaCorrente(6,Classificacao!D25)</f>
        <v>#VALUE!</v>
      </c>
      <c r="P58" s="152">
        <v>0</v>
      </c>
      <c r="Q58" s="153" t="e">
        <f ca="1">somaCodigoContaCorrente(7,Classificacao!D25)</f>
        <v>#VALUE!</v>
      </c>
      <c r="R58" s="152">
        <v>0</v>
      </c>
      <c r="S58" s="153" t="e">
        <f ca="1">somaCodigoContaCorrente(8,Classificacao!D25)</f>
        <v>#VALUE!</v>
      </c>
      <c r="T58" s="152">
        <v>0</v>
      </c>
      <c r="U58" s="153" t="e">
        <f ca="1">somaCodigoContaCorrente(9,Classificacao!D25)</f>
        <v>#VALUE!</v>
      </c>
      <c r="V58" s="152">
        <v>0</v>
      </c>
      <c r="W58" s="153" t="e">
        <f ca="1">somaCodigoContaCorrente(10,Classificacao!D25)</f>
        <v>#VALUE!</v>
      </c>
      <c r="X58" s="152">
        <v>0</v>
      </c>
      <c r="Y58" s="153" t="e">
        <f ca="1">somaCodigoContaCorrente(11,Classificacao!D25)</f>
        <v>#VALUE!</v>
      </c>
      <c r="Z58" s="153" t="e">
        <f ca="1">somaCodigoContaCorrente(11,Classificacao!E25)</f>
        <v>#VALUE!</v>
      </c>
      <c r="AA58" s="153" t="e">
        <f ca="1">somaCodigoContaCorrente(12,Classificacao!D25)</f>
        <v>#VALUE!</v>
      </c>
      <c r="AB58" s="6"/>
      <c r="AC58" s="134"/>
      <c r="AE58" s="105"/>
      <c r="AF58" s="124" t="e">
        <f t="shared" ca="1" si="1"/>
        <v>#VALUE!</v>
      </c>
    </row>
    <row r="59" spans="1:32" ht="12.75" customHeight="1" outlineLevel="1">
      <c r="A59" s="134"/>
      <c r="B59" s="6"/>
      <c r="C59" s="160">
        <f>Classificacao!F26</f>
        <v>0</v>
      </c>
      <c r="D59" s="152">
        <v>0</v>
      </c>
      <c r="E59" s="153">
        <f ca="1">somaCodigoContaCorrente(1,Classificacao!D26)</f>
        <v>0</v>
      </c>
      <c r="F59" s="152">
        <v>0</v>
      </c>
      <c r="G59" s="153" t="e">
        <f ca="1">somaCodigoContaCorrente(2,Classificacao!D26)</f>
        <v>#VALUE!</v>
      </c>
      <c r="H59" s="152">
        <v>0</v>
      </c>
      <c r="I59" s="153" t="e">
        <f ca="1">somaCodigoContaCorrente(3,Classificacao!D26)</f>
        <v>#VALUE!</v>
      </c>
      <c r="J59" s="152">
        <v>0</v>
      </c>
      <c r="K59" s="153" t="e">
        <f ca="1">somaCodigoContaCorrente(4,Classificacao!D26)</f>
        <v>#VALUE!</v>
      </c>
      <c r="L59" s="152">
        <v>0</v>
      </c>
      <c r="M59" s="153" t="e">
        <f ca="1">somaCodigoContaCorrente(5,Classificacao!D26)</f>
        <v>#VALUE!</v>
      </c>
      <c r="N59" s="152">
        <v>0</v>
      </c>
      <c r="O59" s="153" t="e">
        <f ca="1">somaCodigoContaCorrente(6,Classificacao!D26)</f>
        <v>#VALUE!</v>
      </c>
      <c r="P59" s="152">
        <v>0</v>
      </c>
      <c r="Q59" s="153" t="e">
        <f ca="1">somaCodigoContaCorrente(7,Classificacao!D26)</f>
        <v>#VALUE!</v>
      </c>
      <c r="R59" s="152">
        <v>0</v>
      </c>
      <c r="S59" s="153" t="e">
        <f ca="1">somaCodigoContaCorrente(8,Classificacao!D26)</f>
        <v>#VALUE!</v>
      </c>
      <c r="T59" s="152">
        <v>0</v>
      </c>
      <c r="U59" s="153" t="e">
        <f ca="1">somaCodigoContaCorrente(9,Classificacao!D26)</f>
        <v>#VALUE!</v>
      </c>
      <c r="V59" s="152">
        <v>0</v>
      </c>
      <c r="W59" s="153" t="e">
        <f ca="1">somaCodigoContaCorrente(10,Classificacao!D26)</f>
        <v>#VALUE!</v>
      </c>
      <c r="X59" s="152">
        <v>0</v>
      </c>
      <c r="Y59" s="153" t="e">
        <f ca="1">somaCodigoContaCorrente(11,Classificacao!D26)</f>
        <v>#VALUE!</v>
      </c>
      <c r="Z59" s="153" t="e">
        <f ca="1">somaCodigoContaCorrente(11,Classificacao!E26)</f>
        <v>#VALUE!</v>
      </c>
      <c r="AA59" s="153" t="e">
        <f ca="1">somaCodigoContaCorrente(12,Classificacao!D26)</f>
        <v>#VALUE!</v>
      </c>
      <c r="AB59" s="6"/>
      <c r="AC59" s="134"/>
      <c r="AE59" s="105"/>
      <c r="AF59" s="124" t="e">
        <f t="shared" ca="1" si="1"/>
        <v>#VALUE!</v>
      </c>
    </row>
    <row r="60" spans="1:32" ht="12.75" customHeight="1" outlineLevel="1">
      <c r="A60" s="134"/>
      <c r="B60" s="6"/>
      <c r="C60" s="160">
        <f>Classificacao!F27</f>
        <v>0</v>
      </c>
      <c r="D60" s="152">
        <v>0</v>
      </c>
      <c r="E60" s="153">
        <f ca="1">somaCodigoContaCorrente(1,Classificacao!D27)</f>
        <v>0</v>
      </c>
      <c r="F60" s="152">
        <v>0</v>
      </c>
      <c r="G60" s="153" t="e">
        <f ca="1">somaCodigoContaCorrente(2,Classificacao!D27)</f>
        <v>#VALUE!</v>
      </c>
      <c r="H60" s="152">
        <v>0</v>
      </c>
      <c r="I60" s="153" t="e">
        <f ca="1">somaCodigoContaCorrente(3,Classificacao!D27)</f>
        <v>#VALUE!</v>
      </c>
      <c r="J60" s="152">
        <v>0</v>
      </c>
      <c r="K60" s="153" t="e">
        <f ca="1">somaCodigoContaCorrente(4,Classificacao!D27)</f>
        <v>#VALUE!</v>
      </c>
      <c r="L60" s="152">
        <v>0</v>
      </c>
      <c r="M60" s="153" t="e">
        <f ca="1">somaCodigoContaCorrente(5,Classificacao!D27)</f>
        <v>#VALUE!</v>
      </c>
      <c r="N60" s="152">
        <v>0</v>
      </c>
      <c r="O60" s="153" t="e">
        <f ca="1">somaCodigoContaCorrente(6,Classificacao!D27)</f>
        <v>#VALUE!</v>
      </c>
      <c r="P60" s="152">
        <v>0</v>
      </c>
      <c r="Q60" s="153" t="e">
        <f ca="1">somaCodigoContaCorrente(7,Classificacao!D27)</f>
        <v>#VALUE!</v>
      </c>
      <c r="R60" s="152">
        <v>0</v>
      </c>
      <c r="S60" s="153" t="e">
        <f ca="1">somaCodigoContaCorrente(8,Classificacao!D27)</f>
        <v>#VALUE!</v>
      </c>
      <c r="T60" s="152">
        <v>0</v>
      </c>
      <c r="U60" s="153" t="e">
        <f ca="1">somaCodigoContaCorrente(9,Classificacao!D27)</f>
        <v>#VALUE!</v>
      </c>
      <c r="V60" s="152">
        <v>0</v>
      </c>
      <c r="W60" s="153" t="e">
        <f ca="1">somaCodigoContaCorrente(10,Classificacao!D27)</f>
        <v>#VALUE!</v>
      </c>
      <c r="X60" s="152">
        <v>0</v>
      </c>
      <c r="Y60" s="153" t="e">
        <f ca="1">somaCodigoContaCorrente(11,Classificacao!D27)</f>
        <v>#VALUE!</v>
      </c>
      <c r="Z60" s="153" t="e">
        <f ca="1">somaCodigoContaCorrente(11,Classificacao!E27)</f>
        <v>#VALUE!</v>
      </c>
      <c r="AA60" s="153" t="e">
        <f ca="1">somaCodigoContaCorrente(12,Classificacao!D27)</f>
        <v>#VALUE!</v>
      </c>
      <c r="AB60" s="6"/>
      <c r="AC60" s="134"/>
      <c r="AE60" s="105"/>
      <c r="AF60" s="124" t="e">
        <f t="shared" ca="1" si="1"/>
        <v>#VALUE!</v>
      </c>
    </row>
    <row r="61" spans="1:32" ht="12.75" customHeight="1" outlineLevel="1">
      <c r="A61" s="134"/>
      <c r="B61" s="6"/>
      <c r="C61" s="160">
        <f>Classificacao!F28</f>
        <v>0</v>
      </c>
      <c r="D61" s="152">
        <v>0</v>
      </c>
      <c r="E61" s="153">
        <f ca="1">somaCodigoContaCorrente(1,Classificacao!D28)</f>
        <v>0</v>
      </c>
      <c r="F61" s="152">
        <v>0</v>
      </c>
      <c r="G61" s="153" t="e">
        <f ca="1">somaCodigoContaCorrente(2,Classificacao!D28)</f>
        <v>#VALUE!</v>
      </c>
      <c r="H61" s="152">
        <v>0</v>
      </c>
      <c r="I61" s="153" t="e">
        <f ca="1">somaCodigoContaCorrente(3,Classificacao!D28)</f>
        <v>#VALUE!</v>
      </c>
      <c r="J61" s="152">
        <v>0</v>
      </c>
      <c r="K61" s="153" t="e">
        <f ca="1">somaCodigoContaCorrente(4,Classificacao!D28)</f>
        <v>#VALUE!</v>
      </c>
      <c r="L61" s="152">
        <v>0</v>
      </c>
      <c r="M61" s="153" t="e">
        <f ca="1">somaCodigoContaCorrente(5,Classificacao!D28)</f>
        <v>#VALUE!</v>
      </c>
      <c r="N61" s="152">
        <v>0</v>
      </c>
      <c r="O61" s="153" t="e">
        <f ca="1">somaCodigoContaCorrente(6,Classificacao!D28)</f>
        <v>#VALUE!</v>
      </c>
      <c r="P61" s="152">
        <v>0</v>
      </c>
      <c r="Q61" s="153" t="e">
        <f ca="1">somaCodigoContaCorrente(7,Classificacao!D28)</f>
        <v>#VALUE!</v>
      </c>
      <c r="R61" s="152">
        <v>0</v>
      </c>
      <c r="S61" s="153" t="e">
        <f ca="1">somaCodigoContaCorrente(8,Classificacao!D28)</f>
        <v>#VALUE!</v>
      </c>
      <c r="T61" s="152">
        <v>0</v>
      </c>
      <c r="U61" s="153" t="e">
        <f ca="1">somaCodigoContaCorrente(9,Classificacao!D28)</f>
        <v>#VALUE!</v>
      </c>
      <c r="V61" s="152">
        <v>0</v>
      </c>
      <c r="W61" s="153" t="e">
        <f ca="1">somaCodigoContaCorrente(10,Classificacao!D28)</f>
        <v>#VALUE!</v>
      </c>
      <c r="X61" s="152">
        <v>0</v>
      </c>
      <c r="Y61" s="153" t="e">
        <f ca="1">somaCodigoContaCorrente(11,Classificacao!D28)</f>
        <v>#VALUE!</v>
      </c>
      <c r="Z61" s="153" t="e">
        <f ca="1">somaCodigoContaCorrente(11,Classificacao!E28)</f>
        <v>#VALUE!</v>
      </c>
      <c r="AA61" s="153" t="e">
        <f ca="1">somaCodigoContaCorrente(12,Classificacao!D28)</f>
        <v>#VALUE!</v>
      </c>
      <c r="AB61" s="6"/>
      <c r="AC61" s="134"/>
      <c r="AE61" s="105"/>
      <c r="AF61" s="124" t="e">
        <f t="shared" ca="1" si="1"/>
        <v>#VALUE!</v>
      </c>
    </row>
    <row r="62" spans="1:32" ht="12.75" customHeight="1" outlineLevel="1">
      <c r="A62" s="134"/>
      <c r="B62" s="6"/>
      <c r="C62" s="160">
        <f>Classificacao!F29</f>
        <v>0</v>
      </c>
      <c r="D62" s="152">
        <v>0</v>
      </c>
      <c r="E62" s="153">
        <f ca="1">somaCodigoContaCorrente(1,Classificacao!D29)</f>
        <v>0</v>
      </c>
      <c r="F62" s="152">
        <v>0</v>
      </c>
      <c r="G62" s="153" t="e">
        <f ca="1">somaCodigoContaCorrente(2,Classificacao!D29)</f>
        <v>#VALUE!</v>
      </c>
      <c r="H62" s="152">
        <v>0</v>
      </c>
      <c r="I62" s="153" t="e">
        <f ca="1">somaCodigoContaCorrente(3,Classificacao!D29)</f>
        <v>#VALUE!</v>
      </c>
      <c r="J62" s="152">
        <v>0</v>
      </c>
      <c r="K62" s="153" t="e">
        <f ca="1">somaCodigoContaCorrente(4,Classificacao!D29)</f>
        <v>#VALUE!</v>
      </c>
      <c r="L62" s="152">
        <v>0</v>
      </c>
      <c r="M62" s="153" t="e">
        <f ca="1">somaCodigoContaCorrente(5,Classificacao!D29)</f>
        <v>#VALUE!</v>
      </c>
      <c r="N62" s="152">
        <v>0</v>
      </c>
      <c r="O62" s="153" t="e">
        <f ca="1">somaCodigoContaCorrente(6,Classificacao!D29)</f>
        <v>#VALUE!</v>
      </c>
      <c r="P62" s="152">
        <v>0</v>
      </c>
      <c r="Q62" s="153" t="e">
        <f ca="1">somaCodigoContaCorrente(7,Classificacao!D29)</f>
        <v>#VALUE!</v>
      </c>
      <c r="R62" s="152">
        <v>0</v>
      </c>
      <c r="S62" s="153" t="e">
        <f ca="1">somaCodigoContaCorrente(8,Classificacao!D29)</f>
        <v>#VALUE!</v>
      </c>
      <c r="T62" s="152">
        <v>0</v>
      </c>
      <c r="U62" s="153" t="e">
        <f ca="1">somaCodigoContaCorrente(9,Classificacao!D29)</f>
        <v>#VALUE!</v>
      </c>
      <c r="V62" s="152">
        <v>0</v>
      </c>
      <c r="W62" s="153" t="e">
        <f ca="1">somaCodigoContaCorrente(10,Classificacao!D29)</f>
        <v>#VALUE!</v>
      </c>
      <c r="X62" s="152">
        <v>0</v>
      </c>
      <c r="Y62" s="153" t="e">
        <f ca="1">somaCodigoContaCorrente(11,Classificacao!D29)</f>
        <v>#VALUE!</v>
      </c>
      <c r="Z62" s="153" t="e">
        <f ca="1">somaCodigoContaCorrente(11,Classificacao!E29)</f>
        <v>#VALUE!</v>
      </c>
      <c r="AA62" s="153" t="e">
        <f ca="1">somaCodigoContaCorrente(12,Classificacao!D29)</f>
        <v>#VALUE!</v>
      </c>
      <c r="AB62" s="6"/>
      <c r="AC62" s="134"/>
      <c r="AE62" s="105"/>
      <c r="AF62" s="124" t="e">
        <f t="shared" ca="1" si="1"/>
        <v>#VALUE!</v>
      </c>
    </row>
    <row r="63" spans="1:32" ht="12.75" customHeight="1" outlineLevel="1">
      <c r="A63" s="134"/>
      <c r="B63" s="6"/>
      <c r="C63" s="160">
        <f>Classificacao!F30</f>
        <v>0</v>
      </c>
      <c r="D63" s="152">
        <v>0</v>
      </c>
      <c r="E63" s="153">
        <f ca="1">somaCodigoContaCorrente(1,Classificacao!D30)</f>
        <v>0</v>
      </c>
      <c r="F63" s="152">
        <v>0</v>
      </c>
      <c r="G63" s="153" t="e">
        <f ca="1">somaCodigoContaCorrente(2,Classificacao!D30)</f>
        <v>#VALUE!</v>
      </c>
      <c r="H63" s="152">
        <v>0</v>
      </c>
      <c r="I63" s="153" t="e">
        <f ca="1">somaCodigoContaCorrente(3,Classificacao!D30)</f>
        <v>#VALUE!</v>
      </c>
      <c r="J63" s="152">
        <v>0</v>
      </c>
      <c r="K63" s="153" t="e">
        <f ca="1">somaCodigoContaCorrente(4,Classificacao!D30)</f>
        <v>#VALUE!</v>
      </c>
      <c r="L63" s="152">
        <v>0</v>
      </c>
      <c r="M63" s="153" t="e">
        <f ca="1">somaCodigoContaCorrente(5,Classificacao!D30)</f>
        <v>#VALUE!</v>
      </c>
      <c r="N63" s="152">
        <v>0</v>
      </c>
      <c r="O63" s="153" t="e">
        <f ca="1">somaCodigoContaCorrente(6,Classificacao!D30)</f>
        <v>#VALUE!</v>
      </c>
      <c r="P63" s="152">
        <v>0</v>
      </c>
      <c r="Q63" s="153" t="e">
        <f ca="1">somaCodigoContaCorrente(7,Classificacao!D30)</f>
        <v>#VALUE!</v>
      </c>
      <c r="R63" s="152">
        <v>0</v>
      </c>
      <c r="S63" s="153" t="e">
        <f ca="1">somaCodigoContaCorrente(8,Classificacao!D30)</f>
        <v>#VALUE!</v>
      </c>
      <c r="T63" s="152">
        <v>0</v>
      </c>
      <c r="U63" s="153" t="e">
        <f ca="1">somaCodigoContaCorrente(9,Classificacao!D30)</f>
        <v>#VALUE!</v>
      </c>
      <c r="V63" s="152">
        <v>0</v>
      </c>
      <c r="W63" s="153" t="e">
        <f ca="1">somaCodigoContaCorrente(10,Classificacao!D30)</f>
        <v>#VALUE!</v>
      </c>
      <c r="X63" s="152">
        <v>0</v>
      </c>
      <c r="Y63" s="153" t="e">
        <f ca="1">somaCodigoContaCorrente(11,Classificacao!D30)</f>
        <v>#VALUE!</v>
      </c>
      <c r="Z63" s="153" t="e">
        <f ca="1">somaCodigoContaCorrente(11,Classificacao!E30)</f>
        <v>#VALUE!</v>
      </c>
      <c r="AA63" s="153" t="e">
        <f ca="1">somaCodigoContaCorrente(12,Classificacao!D30)</f>
        <v>#VALUE!</v>
      </c>
      <c r="AB63" s="6"/>
      <c r="AC63" s="134"/>
      <c r="AE63" s="105"/>
      <c r="AF63" s="124" t="e">
        <f t="shared" ca="1" si="1"/>
        <v>#VALUE!</v>
      </c>
    </row>
    <row r="64" spans="1:32" ht="12.75" customHeight="1" outlineLevel="1">
      <c r="A64" s="134"/>
      <c r="B64" s="6"/>
      <c r="C64" s="160">
        <f>Classificacao!F31</f>
        <v>0</v>
      </c>
      <c r="D64" s="152">
        <v>0</v>
      </c>
      <c r="E64" s="153">
        <f ca="1">somaCodigoContaCorrente(1,Classificacao!D31)</f>
        <v>0</v>
      </c>
      <c r="F64" s="152">
        <v>0</v>
      </c>
      <c r="G64" s="153" t="e">
        <f ca="1">somaCodigoContaCorrente(2,Classificacao!D31)</f>
        <v>#VALUE!</v>
      </c>
      <c r="H64" s="152">
        <v>0</v>
      </c>
      <c r="I64" s="153" t="e">
        <f ca="1">somaCodigoContaCorrente(3,Classificacao!D31)</f>
        <v>#VALUE!</v>
      </c>
      <c r="J64" s="152">
        <v>0</v>
      </c>
      <c r="K64" s="153" t="e">
        <f ca="1">somaCodigoContaCorrente(4,Classificacao!D31)</f>
        <v>#VALUE!</v>
      </c>
      <c r="L64" s="152">
        <v>0</v>
      </c>
      <c r="M64" s="153" t="e">
        <f ca="1">somaCodigoContaCorrente(5,Classificacao!D31)</f>
        <v>#VALUE!</v>
      </c>
      <c r="N64" s="152">
        <v>0</v>
      </c>
      <c r="O64" s="153" t="e">
        <f ca="1">somaCodigoContaCorrente(6,Classificacao!D31)</f>
        <v>#VALUE!</v>
      </c>
      <c r="P64" s="152">
        <v>0</v>
      </c>
      <c r="Q64" s="153" t="e">
        <f ca="1">somaCodigoContaCorrente(7,Classificacao!D31)</f>
        <v>#VALUE!</v>
      </c>
      <c r="R64" s="152">
        <v>0</v>
      </c>
      <c r="S64" s="153" t="e">
        <f ca="1">somaCodigoContaCorrente(8,Classificacao!D31)</f>
        <v>#VALUE!</v>
      </c>
      <c r="T64" s="152">
        <v>0</v>
      </c>
      <c r="U64" s="153" t="e">
        <f ca="1">somaCodigoContaCorrente(9,Classificacao!D31)</f>
        <v>#VALUE!</v>
      </c>
      <c r="V64" s="152">
        <v>0</v>
      </c>
      <c r="W64" s="153" t="e">
        <f ca="1">somaCodigoContaCorrente(10,Classificacao!D31)</f>
        <v>#VALUE!</v>
      </c>
      <c r="X64" s="152">
        <v>0</v>
      </c>
      <c r="Y64" s="153" t="e">
        <f ca="1">somaCodigoContaCorrente(11,Classificacao!D31)</f>
        <v>#VALUE!</v>
      </c>
      <c r="Z64" s="153" t="e">
        <f ca="1">somaCodigoContaCorrente(11,Classificacao!E31)</f>
        <v>#VALUE!</v>
      </c>
      <c r="AA64" s="153" t="e">
        <f ca="1">somaCodigoContaCorrente(12,Classificacao!D31)</f>
        <v>#VALUE!</v>
      </c>
      <c r="AB64" s="6"/>
      <c r="AC64" s="134"/>
      <c r="AE64" s="105"/>
      <c r="AF64" s="124" t="e">
        <f t="shared" ca="1" si="1"/>
        <v>#VALUE!</v>
      </c>
    </row>
    <row r="65" spans="1:32" ht="12.75" customHeight="1" outlineLevel="1">
      <c r="A65" s="134"/>
      <c r="B65" s="6"/>
      <c r="C65" s="160">
        <f>Classificacao!F32</f>
        <v>0</v>
      </c>
      <c r="D65" s="152">
        <v>0</v>
      </c>
      <c r="E65" s="153">
        <f ca="1">somaCodigoContaCorrente(1,Classificacao!D32)</f>
        <v>0</v>
      </c>
      <c r="F65" s="152">
        <v>0</v>
      </c>
      <c r="G65" s="153" t="e">
        <f ca="1">somaCodigoContaCorrente(2,Classificacao!D32)</f>
        <v>#VALUE!</v>
      </c>
      <c r="H65" s="152">
        <v>0</v>
      </c>
      <c r="I65" s="153" t="e">
        <f ca="1">somaCodigoContaCorrente(3,Classificacao!D32)</f>
        <v>#VALUE!</v>
      </c>
      <c r="J65" s="152">
        <v>0</v>
      </c>
      <c r="K65" s="153" t="e">
        <f ca="1">somaCodigoContaCorrente(4,Classificacao!D32)</f>
        <v>#VALUE!</v>
      </c>
      <c r="L65" s="152">
        <v>0</v>
      </c>
      <c r="M65" s="153" t="e">
        <f ca="1">somaCodigoContaCorrente(5,Classificacao!D32)</f>
        <v>#VALUE!</v>
      </c>
      <c r="N65" s="152">
        <v>0</v>
      </c>
      <c r="O65" s="153" t="e">
        <f ca="1">somaCodigoContaCorrente(6,Classificacao!D32)</f>
        <v>#VALUE!</v>
      </c>
      <c r="P65" s="152">
        <v>0</v>
      </c>
      <c r="Q65" s="153" t="e">
        <f ca="1">somaCodigoContaCorrente(7,Classificacao!D32)</f>
        <v>#VALUE!</v>
      </c>
      <c r="R65" s="152">
        <v>0</v>
      </c>
      <c r="S65" s="153" t="e">
        <f ca="1">somaCodigoContaCorrente(8,Classificacao!D32)</f>
        <v>#VALUE!</v>
      </c>
      <c r="T65" s="152">
        <v>0</v>
      </c>
      <c r="U65" s="153" t="e">
        <f ca="1">somaCodigoContaCorrente(9,Classificacao!D32)</f>
        <v>#VALUE!</v>
      </c>
      <c r="V65" s="152">
        <v>0</v>
      </c>
      <c r="W65" s="153" t="e">
        <f ca="1">somaCodigoContaCorrente(10,Classificacao!D32)</f>
        <v>#VALUE!</v>
      </c>
      <c r="X65" s="152">
        <v>0</v>
      </c>
      <c r="Y65" s="153" t="e">
        <f ca="1">somaCodigoContaCorrente(11,Classificacao!D32)</f>
        <v>#VALUE!</v>
      </c>
      <c r="Z65" s="153" t="e">
        <f ca="1">somaCodigoContaCorrente(11,Classificacao!E32)</f>
        <v>#VALUE!</v>
      </c>
      <c r="AA65" s="153" t="e">
        <f ca="1">somaCodigoContaCorrente(12,Classificacao!D32)</f>
        <v>#VALUE!</v>
      </c>
      <c r="AB65" s="6"/>
      <c r="AC65" s="134"/>
      <c r="AE65" s="105"/>
      <c r="AF65" s="124" t="e">
        <f t="shared" ca="1" si="1"/>
        <v>#VALUE!</v>
      </c>
    </row>
    <row r="66" spans="1:32" ht="12.75" customHeight="1" outlineLevel="1">
      <c r="A66" s="134"/>
      <c r="B66" s="6"/>
      <c r="C66" s="160">
        <f>Classificacao!F33</f>
        <v>0</v>
      </c>
      <c r="D66" s="152">
        <v>0</v>
      </c>
      <c r="E66" s="153">
        <f ca="1">somaCodigoContaCorrente(1,Classificacao!D33)</f>
        <v>0</v>
      </c>
      <c r="F66" s="152">
        <v>0</v>
      </c>
      <c r="G66" s="153" t="e">
        <f ca="1">somaCodigoContaCorrente(2,Classificacao!D33)</f>
        <v>#VALUE!</v>
      </c>
      <c r="H66" s="152">
        <v>0</v>
      </c>
      <c r="I66" s="153" t="e">
        <f ca="1">somaCodigoContaCorrente(3,Classificacao!D33)</f>
        <v>#VALUE!</v>
      </c>
      <c r="J66" s="152">
        <v>0</v>
      </c>
      <c r="K66" s="153" t="e">
        <f ca="1">somaCodigoContaCorrente(4,Classificacao!D33)</f>
        <v>#VALUE!</v>
      </c>
      <c r="L66" s="152">
        <v>0</v>
      </c>
      <c r="M66" s="153" t="e">
        <f ca="1">somaCodigoContaCorrente(5,Classificacao!D33)</f>
        <v>#VALUE!</v>
      </c>
      <c r="N66" s="152">
        <v>0</v>
      </c>
      <c r="O66" s="153" t="e">
        <f ca="1">somaCodigoContaCorrente(6,Classificacao!D33)</f>
        <v>#VALUE!</v>
      </c>
      <c r="P66" s="152">
        <v>0</v>
      </c>
      <c r="Q66" s="153" t="e">
        <f ca="1">somaCodigoContaCorrente(7,Classificacao!D33)</f>
        <v>#VALUE!</v>
      </c>
      <c r="R66" s="152">
        <v>0</v>
      </c>
      <c r="S66" s="153" t="e">
        <f ca="1">somaCodigoContaCorrente(8,Classificacao!D33)</f>
        <v>#VALUE!</v>
      </c>
      <c r="T66" s="152">
        <v>0</v>
      </c>
      <c r="U66" s="153" t="e">
        <f ca="1">somaCodigoContaCorrente(9,Classificacao!D33)</f>
        <v>#VALUE!</v>
      </c>
      <c r="V66" s="152">
        <v>0</v>
      </c>
      <c r="W66" s="153" t="e">
        <f ca="1">somaCodigoContaCorrente(10,Classificacao!D33)</f>
        <v>#VALUE!</v>
      </c>
      <c r="X66" s="152">
        <v>0</v>
      </c>
      <c r="Y66" s="153" t="e">
        <f ca="1">somaCodigoContaCorrente(11,Classificacao!D33)</f>
        <v>#VALUE!</v>
      </c>
      <c r="Z66" s="153" t="e">
        <f ca="1">somaCodigoContaCorrente(11,Classificacao!E33)</f>
        <v>#VALUE!</v>
      </c>
      <c r="AA66" s="153" t="e">
        <f ca="1">somaCodigoContaCorrente(12,Classificacao!D33)</f>
        <v>#VALUE!</v>
      </c>
      <c r="AB66" s="6"/>
      <c r="AC66" s="134"/>
      <c r="AE66" s="105"/>
      <c r="AF66" s="124" t="e">
        <f t="shared" ca="1" si="1"/>
        <v>#VALUE!</v>
      </c>
    </row>
    <row r="67" spans="1:32" ht="12.75" customHeight="1" outlineLevel="1">
      <c r="A67" s="134"/>
      <c r="B67" s="6"/>
      <c r="C67" s="160">
        <f>Classificacao!F34</f>
        <v>0</v>
      </c>
      <c r="D67" s="152">
        <v>0</v>
      </c>
      <c r="E67" s="153">
        <f ca="1">somaCodigoContaCorrente(1,Classificacao!D34)</f>
        <v>0</v>
      </c>
      <c r="F67" s="152">
        <v>0</v>
      </c>
      <c r="G67" s="153" t="e">
        <f ca="1">somaCodigoContaCorrente(2,Classificacao!D34)</f>
        <v>#VALUE!</v>
      </c>
      <c r="H67" s="152">
        <v>0</v>
      </c>
      <c r="I67" s="153" t="e">
        <f ca="1">somaCodigoContaCorrente(3,Classificacao!D34)</f>
        <v>#VALUE!</v>
      </c>
      <c r="J67" s="152">
        <v>0</v>
      </c>
      <c r="K67" s="153" t="e">
        <f ca="1">somaCodigoContaCorrente(4,Classificacao!D34)</f>
        <v>#VALUE!</v>
      </c>
      <c r="L67" s="152">
        <v>0</v>
      </c>
      <c r="M67" s="153" t="e">
        <f ca="1">somaCodigoContaCorrente(5,Classificacao!D34)</f>
        <v>#VALUE!</v>
      </c>
      <c r="N67" s="152">
        <v>0</v>
      </c>
      <c r="O67" s="153" t="e">
        <f ca="1">somaCodigoContaCorrente(6,Classificacao!D34)</f>
        <v>#VALUE!</v>
      </c>
      <c r="P67" s="152">
        <v>0</v>
      </c>
      <c r="Q67" s="153" t="e">
        <f ca="1">somaCodigoContaCorrente(7,Classificacao!D34)</f>
        <v>#VALUE!</v>
      </c>
      <c r="R67" s="152">
        <v>0</v>
      </c>
      <c r="S67" s="153" t="e">
        <f ca="1">somaCodigoContaCorrente(8,Classificacao!D34)</f>
        <v>#VALUE!</v>
      </c>
      <c r="T67" s="152">
        <v>0</v>
      </c>
      <c r="U67" s="153" t="e">
        <f ca="1">somaCodigoContaCorrente(9,Classificacao!D34)</f>
        <v>#VALUE!</v>
      </c>
      <c r="V67" s="152">
        <v>0</v>
      </c>
      <c r="W67" s="153" t="e">
        <f ca="1">somaCodigoContaCorrente(10,Classificacao!D34)</f>
        <v>#VALUE!</v>
      </c>
      <c r="X67" s="152">
        <v>0</v>
      </c>
      <c r="Y67" s="153" t="e">
        <f ca="1">somaCodigoContaCorrente(11,Classificacao!D34)</f>
        <v>#VALUE!</v>
      </c>
      <c r="Z67" s="153" t="e">
        <f ca="1">somaCodigoContaCorrente(11,Classificacao!E34)</f>
        <v>#VALUE!</v>
      </c>
      <c r="AA67" s="153" t="e">
        <f ca="1">somaCodigoContaCorrente(12,Classificacao!D34)</f>
        <v>#VALUE!</v>
      </c>
      <c r="AB67" s="6"/>
      <c r="AC67" s="134"/>
      <c r="AE67" s="105"/>
      <c r="AF67" s="124" t="e">
        <f t="shared" ca="1" si="1"/>
        <v>#VALUE!</v>
      </c>
    </row>
    <row r="68" spans="1:32" ht="12.75" customHeight="1" outlineLevel="1">
      <c r="A68" s="134"/>
      <c r="B68" s="6"/>
      <c r="C68" s="160">
        <f>Classificacao!F35</f>
        <v>0</v>
      </c>
      <c r="D68" s="152">
        <v>0</v>
      </c>
      <c r="E68" s="153">
        <f ca="1">somaCodigoContaCorrente(1,Classificacao!D35)</f>
        <v>0</v>
      </c>
      <c r="F68" s="152">
        <v>0</v>
      </c>
      <c r="G68" s="153" t="e">
        <f ca="1">somaCodigoContaCorrente(2,Classificacao!D35)</f>
        <v>#VALUE!</v>
      </c>
      <c r="H68" s="152">
        <v>0</v>
      </c>
      <c r="I68" s="153" t="e">
        <f ca="1">somaCodigoContaCorrente(3,Classificacao!D35)</f>
        <v>#VALUE!</v>
      </c>
      <c r="J68" s="152">
        <v>0</v>
      </c>
      <c r="K68" s="153" t="e">
        <f ca="1">somaCodigoContaCorrente(4,Classificacao!D35)</f>
        <v>#VALUE!</v>
      </c>
      <c r="L68" s="152">
        <v>0</v>
      </c>
      <c r="M68" s="153" t="e">
        <f ca="1">somaCodigoContaCorrente(5,Classificacao!D35)</f>
        <v>#VALUE!</v>
      </c>
      <c r="N68" s="152">
        <v>0</v>
      </c>
      <c r="O68" s="153" t="e">
        <f ca="1">somaCodigoContaCorrente(6,Classificacao!D35)</f>
        <v>#VALUE!</v>
      </c>
      <c r="P68" s="152">
        <v>0</v>
      </c>
      <c r="Q68" s="153" t="e">
        <f ca="1">somaCodigoContaCorrente(7,Classificacao!D35)</f>
        <v>#VALUE!</v>
      </c>
      <c r="R68" s="152">
        <v>0</v>
      </c>
      <c r="S68" s="153" t="e">
        <f ca="1">somaCodigoContaCorrente(8,Classificacao!D35)</f>
        <v>#VALUE!</v>
      </c>
      <c r="T68" s="152">
        <v>0</v>
      </c>
      <c r="U68" s="153" t="e">
        <f ca="1">somaCodigoContaCorrente(9,Classificacao!D35)</f>
        <v>#VALUE!</v>
      </c>
      <c r="V68" s="152">
        <v>0</v>
      </c>
      <c r="W68" s="153" t="e">
        <f ca="1">somaCodigoContaCorrente(10,Classificacao!D35)</f>
        <v>#VALUE!</v>
      </c>
      <c r="X68" s="152">
        <v>0</v>
      </c>
      <c r="Y68" s="153" t="e">
        <f ca="1">somaCodigoContaCorrente(11,Classificacao!D35)</f>
        <v>#VALUE!</v>
      </c>
      <c r="Z68" s="153" t="e">
        <f ca="1">somaCodigoContaCorrente(11,Classificacao!E35)</f>
        <v>#VALUE!</v>
      </c>
      <c r="AA68" s="153" t="e">
        <f ca="1">somaCodigoContaCorrente(12,Classificacao!D35)</f>
        <v>#VALUE!</v>
      </c>
      <c r="AB68" s="6"/>
      <c r="AC68" s="134"/>
      <c r="AE68" s="105"/>
      <c r="AF68" s="124" t="e">
        <f t="shared" ca="1" si="1"/>
        <v>#VALUE!</v>
      </c>
    </row>
    <row r="69" spans="1:32" s="120" customFormat="1">
      <c r="A69" s="134">
        <f>SUM(A70:A121)</f>
        <v>0</v>
      </c>
      <c r="B69" s="5"/>
      <c r="C69" s="161" t="s">
        <v>31</v>
      </c>
      <c r="D69" s="154">
        <f ca="1">SUM(D70:D121)</f>
        <v>0</v>
      </c>
      <c r="E69" s="155">
        <f ca="1">IF(SUM(E70:E121)&lt;&gt;CC_JAN,"ERRO",SUM(E70:E121))</f>
        <v>0</v>
      </c>
      <c r="F69" s="154" t="e">
        <f ca="1">SUM(F70:F121)</f>
        <v>#VALUE!</v>
      </c>
      <c r="G69" s="155" t="e">
        <f ca="1">IF(SUM(G70:G121)&lt;&gt;CC_FEV,"ERRO",SUM(G70:G121))</f>
        <v>#VALUE!</v>
      </c>
      <c r="H69" s="154" t="e">
        <f ca="1">SUM(H70:H121)</f>
        <v>#VALUE!</v>
      </c>
      <c r="I69" s="155" t="e">
        <f ca="1">IF(SUM(I70:I121)&lt;&gt;CC_MAR,"ERRO",SUM(I70:I121))</f>
        <v>#VALUE!</v>
      </c>
      <c r="J69" s="154" t="e">
        <f ca="1">SUM(J70:J121)</f>
        <v>#VALUE!</v>
      </c>
      <c r="K69" s="155" t="e">
        <f ca="1">IF(SUM(K70:K121)&lt;&gt;CC_ABR,"ERRO",SUM(K70:K121))</f>
        <v>#VALUE!</v>
      </c>
      <c r="L69" s="154" t="e">
        <f ca="1">SUM(L70:L121)</f>
        <v>#VALUE!</v>
      </c>
      <c r="M69" s="155" t="e">
        <f ca="1">IF(SUM(M70:M121)&lt;&gt;CC_MAI,"ERRO",SUM(M70:M121))</f>
        <v>#VALUE!</v>
      </c>
      <c r="N69" s="154" t="e">
        <f ca="1">SUM(N70:N121)</f>
        <v>#VALUE!</v>
      </c>
      <c r="O69" s="155" t="e">
        <f ca="1">IF(SUM(O70:O121)&lt;&gt;CC_JUN,"ERRO",SUM(O70:O121))</f>
        <v>#VALUE!</v>
      </c>
      <c r="P69" s="154" t="e">
        <f ca="1">SUM(P70:P121)</f>
        <v>#VALUE!</v>
      </c>
      <c r="Q69" s="155" t="e">
        <f ca="1">IF(SUM(Q70:Q121)&lt;&gt;CC_JUL,"ERRO",SUM(Q70:Q121))</f>
        <v>#VALUE!</v>
      </c>
      <c r="R69" s="154" t="e">
        <f ca="1">SUM(R70:R121)</f>
        <v>#VALUE!</v>
      </c>
      <c r="S69" s="155" t="e">
        <f ca="1">IF(SUM(S70:S121)&lt;&gt;CC_AGO,"ERRO",SUM(S70:S121))</f>
        <v>#VALUE!</v>
      </c>
      <c r="T69" s="154" t="e">
        <f ca="1">SUM(T70:T121)</f>
        <v>#VALUE!</v>
      </c>
      <c r="U69" s="155" t="e">
        <f ca="1">IF(SUM(U70:U121)&lt;&gt;CC_SET,"ERRO",SUM(U70:U121))</f>
        <v>#VALUE!</v>
      </c>
      <c r="V69" s="154" t="e">
        <f ca="1">SUM(V70:V121)</f>
        <v>#VALUE!</v>
      </c>
      <c r="W69" s="155" t="e">
        <f ca="1">IF(SUM(W70:W121)&lt;&gt;CC_OUT,"ERRO",SUM(W70:W121))</f>
        <v>#VALUE!</v>
      </c>
      <c r="X69" s="154" t="e">
        <f ca="1">SUM(X70:X121)</f>
        <v>#VALUE!</v>
      </c>
      <c r="Y69" s="155" t="e">
        <f ca="1">IF(SUM(Y70:Y121)&lt;&gt;CC_NOV,"ERRO",SUM(Y70:Y121))</f>
        <v>#VALUE!</v>
      </c>
      <c r="Z69" s="154" t="e">
        <f ca="1">SUM(Z70:Z121)</f>
        <v>#VALUE!</v>
      </c>
      <c r="AA69" s="155" t="e">
        <f ca="1">IF(SUM(AA70:AA121)&lt;&gt;CC_DEZ,"ERRO",SUM(AA70:AA121))</f>
        <v>#VALUE!</v>
      </c>
      <c r="AB69" s="5"/>
      <c r="AC69" s="141"/>
      <c r="AE69" s="142"/>
      <c r="AF69" s="143" t="e">
        <f ca="1">SUM(AF70:AF122)</f>
        <v>#VALUE!</v>
      </c>
    </row>
    <row r="70" spans="1:32" ht="13.5" customHeight="1" outlineLevel="1">
      <c r="A70" s="134"/>
      <c r="B70" s="6"/>
      <c r="C70" s="159" t="str">
        <f>Classificacao!F4</f>
        <v>NA</v>
      </c>
      <c r="D70" s="151">
        <f ca="1">somaCodigoCartaoCreditoParceladoProximoMes(1,Classificacao!D4)</f>
        <v>0</v>
      </c>
      <c r="E70" s="153">
        <f ca="1">somaCodigoCartaoCredito(1,Classificacao!D4)</f>
        <v>0</v>
      </c>
      <c r="F70" s="151" t="e">
        <f ca="1">somaCodigoCartaoCreditoParceladoProximoMes(2,Classificacao!D4)</f>
        <v>#VALUE!</v>
      </c>
      <c r="G70" s="153" t="e">
        <f ca="1">somaCodigoCartaoCredito(2,Classificacao!D4)</f>
        <v>#VALUE!</v>
      </c>
      <c r="H70" s="151" t="e">
        <f ca="1">somaCodigoCartaoCreditoParceladoProximoMes(3,Classificacao!D4)</f>
        <v>#VALUE!</v>
      </c>
      <c r="I70" s="153" t="e">
        <f ca="1">somaCodigoCartaoCredito(3,Classificacao!D4)</f>
        <v>#VALUE!</v>
      </c>
      <c r="J70" s="151" t="e">
        <f ca="1">somaCodigoCartaoCreditoParceladoProximoMes(4,Classificacao!D4)</f>
        <v>#VALUE!</v>
      </c>
      <c r="K70" s="153" t="e">
        <f ca="1">somaCodigoCartaoCredito(4,Classificacao!D4)</f>
        <v>#VALUE!</v>
      </c>
      <c r="L70" s="151" t="e">
        <f ca="1">somaCodigoCartaoCreditoParceladoProximoMes(5,Classificacao!D4)</f>
        <v>#VALUE!</v>
      </c>
      <c r="M70" s="153" t="e">
        <f ca="1">somaCodigoCartaoCredito(5,Classificacao!D4)</f>
        <v>#VALUE!</v>
      </c>
      <c r="N70" s="151" t="e">
        <f ca="1">somaCodigoCartaoCreditoParceladoProximoMes(6,Classificacao!D4)</f>
        <v>#VALUE!</v>
      </c>
      <c r="O70" s="153" t="e">
        <f ca="1">somaCodigoCartaoCredito(6,Classificacao!D4)</f>
        <v>#VALUE!</v>
      </c>
      <c r="P70" s="151" t="e">
        <f ca="1">somaCodigoCartaoCreditoParceladoProximoMes(7,Classificacao!D4)</f>
        <v>#VALUE!</v>
      </c>
      <c r="Q70" s="153" t="e">
        <f ca="1">somaCodigoCartaoCredito(7,Classificacao!D4)</f>
        <v>#VALUE!</v>
      </c>
      <c r="R70" s="151" t="e">
        <f ca="1">somaCodigoCartaoCreditoParceladoProximoMes(8,Classificacao!D4)</f>
        <v>#VALUE!</v>
      </c>
      <c r="S70" s="153" t="e">
        <f ca="1">somaCodigoCartaoCredito(8,Classificacao!D4)</f>
        <v>#VALUE!</v>
      </c>
      <c r="T70" s="151" t="e">
        <f ca="1">somaCodigoCartaoCreditoParceladoProximoMes(9,Classificacao!D4)</f>
        <v>#VALUE!</v>
      </c>
      <c r="U70" s="153" t="e">
        <f ca="1">somaCodigoCartaoCredito(9,Classificacao!D4)</f>
        <v>#VALUE!</v>
      </c>
      <c r="V70" s="151" t="e">
        <f ca="1">somaCodigoCartaoCreditoParceladoProximoMes(10,Classificacao!D4)</f>
        <v>#VALUE!</v>
      </c>
      <c r="W70" s="153" t="e">
        <f ca="1">somaCodigoCartaoCredito(10,Classificacao!D4)</f>
        <v>#VALUE!</v>
      </c>
      <c r="X70" s="151" t="e">
        <f ca="1">somaCodigoCartaoCreditoParceladoProximoMes(11,Classificacao!D4)</f>
        <v>#VALUE!</v>
      </c>
      <c r="Y70" s="153" t="e">
        <f ca="1">somaCodigoCartaoCredito(11,Classificacao!D4)</f>
        <v>#VALUE!</v>
      </c>
      <c r="Z70" s="151" t="e">
        <f ca="1">somaCodigoCartaoCreditoParceladoProximoMes(12,Classificacao!D4)</f>
        <v>#VALUE!</v>
      </c>
      <c r="AA70" s="153" t="e">
        <f ca="1">somaCodigoCartaoCredito(12,Classificacao!D4)</f>
        <v>#VALUE!</v>
      </c>
      <c r="AB70" s="6"/>
      <c r="AC70" s="134"/>
      <c r="AE70" s="106"/>
      <c r="AF70" s="122" t="e">
        <f t="shared" ca="1" si="1"/>
        <v>#VALUE!</v>
      </c>
    </row>
    <row r="71" spans="1:32" ht="13.5" customHeight="1" outlineLevel="1">
      <c r="A71" s="134"/>
      <c r="B71" s="6"/>
      <c r="C71" s="159" t="str">
        <f>Classificacao!F5</f>
        <v>Viagem</v>
      </c>
      <c r="D71" s="151">
        <f ca="1">somaCodigoCartaoCreditoParceladoProximoMes(1,Classificacao!D5)</f>
        <v>0</v>
      </c>
      <c r="E71" s="153">
        <f ca="1">somaCodigoCartaoCredito(1,Classificacao!D5)</f>
        <v>0</v>
      </c>
      <c r="F71" s="151" t="e">
        <f ca="1">somaCodigoCartaoCreditoParceladoProximoMes(2,Classificacao!D5)</f>
        <v>#VALUE!</v>
      </c>
      <c r="G71" s="153" t="e">
        <f ca="1">somaCodigoCartaoCredito(2,Classificacao!D5)</f>
        <v>#VALUE!</v>
      </c>
      <c r="H71" s="151" t="e">
        <f ca="1">somaCodigoCartaoCreditoParceladoProximoMes(3,Classificacao!D5)</f>
        <v>#VALUE!</v>
      </c>
      <c r="I71" s="153" t="e">
        <f ca="1">somaCodigoCartaoCredito(3,Classificacao!D5)</f>
        <v>#VALUE!</v>
      </c>
      <c r="J71" s="151" t="e">
        <f ca="1">somaCodigoCartaoCreditoParceladoProximoMes(4,Classificacao!D5)</f>
        <v>#VALUE!</v>
      </c>
      <c r="K71" s="153" t="e">
        <f ca="1">somaCodigoCartaoCredito(4,Classificacao!D5)</f>
        <v>#VALUE!</v>
      </c>
      <c r="L71" s="151" t="e">
        <f ca="1">somaCodigoCartaoCreditoParceladoProximoMes(5,Classificacao!D5)</f>
        <v>#VALUE!</v>
      </c>
      <c r="M71" s="153" t="e">
        <f ca="1">somaCodigoCartaoCredito(5,Classificacao!D5)</f>
        <v>#VALUE!</v>
      </c>
      <c r="N71" s="151" t="e">
        <f ca="1">somaCodigoCartaoCreditoParceladoProximoMes(6,Classificacao!D5)</f>
        <v>#VALUE!</v>
      </c>
      <c r="O71" s="153" t="e">
        <f ca="1">somaCodigoCartaoCredito(6,Classificacao!D5)</f>
        <v>#VALUE!</v>
      </c>
      <c r="P71" s="151" t="e">
        <f ca="1">somaCodigoCartaoCreditoParceladoProximoMes(7,Classificacao!D5)</f>
        <v>#VALUE!</v>
      </c>
      <c r="Q71" s="153" t="e">
        <f ca="1">somaCodigoCartaoCredito(7,Classificacao!D5)</f>
        <v>#VALUE!</v>
      </c>
      <c r="R71" s="151" t="e">
        <f ca="1">somaCodigoCartaoCreditoParceladoProximoMes(8,Classificacao!D5)</f>
        <v>#VALUE!</v>
      </c>
      <c r="S71" s="153" t="e">
        <f ca="1">somaCodigoCartaoCredito(8,Classificacao!D5)</f>
        <v>#VALUE!</v>
      </c>
      <c r="T71" s="151" t="e">
        <f ca="1">somaCodigoCartaoCreditoParceladoProximoMes(9,Classificacao!D5)</f>
        <v>#VALUE!</v>
      </c>
      <c r="U71" s="153" t="e">
        <f ca="1">somaCodigoCartaoCredito(9,Classificacao!D5)</f>
        <v>#VALUE!</v>
      </c>
      <c r="V71" s="151" t="e">
        <f ca="1">somaCodigoCartaoCreditoParceladoProximoMes(10,Classificacao!D5)</f>
        <v>#VALUE!</v>
      </c>
      <c r="W71" s="153" t="e">
        <f ca="1">somaCodigoCartaoCredito(10,Classificacao!D5)</f>
        <v>#VALUE!</v>
      </c>
      <c r="X71" s="151" t="e">
        <f ca="1">somaCodigoCartaoCreditoParceladoProximoMes(11,Classificacao!D5)</f>
        <v>#VALUE!</v>
      </c>
      <c r="Y71" s="153" t="e">
        <f ca="1">somaCodigoCartaoCredito(11,Classificacao!D5)</f>
        <v>#VALUE!</v>
      </c>
      <c r="Z71" s="151" t="e">
        <f ca="1">somaCodigoCartaoCreditoParceladoProximoMes(12,Classificacao!D5)</f>
        <v>#VALUE!</v>
      </c>
      <c r="AA71" s="153" t="e">
        <f ca="1">somaCodigoCartaoCredito(12,Classificacao!D5)</f>
        <v>#VALUE!</v>
      </c>
      <c r="AB71" s="6"/>
      <c r="AC71" s="134"/>
      <c r="AE71" s="104"/>
      <c r="AF71" s="123" t="e">
        <f t="shared" ca="1" si="1"/>
        <v>#VALUE!</v>
      </c>
    </row>
    <row r="72" spans="1:32" ht="13.5" customHeight="1" outlineLevel="1">
      <c r="A72" s="134"/>
      <c r="B72" s="6"/>
      <c r="C72" s="159" t="str">
        <f>Classificacao!F6</f>
        <v>Supermecado</v>
      </c>
      <c r="D72" s="151">
        <f ca="1">somaCodigoCartaoCreditoParceladoProximoMes(1,Classificacao!D6)</f>
        <v>0</v>
      </c>
      <c r="E72" s="153">
        <f ca="1">somaCodigoCartaoCredito(1,Classificacao!D6)</f>
        <v>0</v>
      </c>
      <c r="F72" s="151" t="e">
        <f ca="1">somaCodigoCartaoCreditoParceladoProximoMes(2,Classificacao!D6)</f>
        <v>#VALUE!</v>
      </c>
      <c r="G72" s="153" t="e">
        <f ca="1">somaCodigoCartaoCredito(2,Classificacao!D6)</f>
        <v>#VALUE!</v>
      </c>
      <c r="H72" s="151" t="e">
        <f ca="1">somaCodigoCartaoCreditoParceladoProximoMes(3,Classificacao!D6)</f>
        <v>#VALUE!</v>
      </c>
      <c r="I72" s="153" t="e">
        <f ca="1">somaCodigoCartaoCredito(3,Classificacao!D6)</f>
        <v>#VALUE!</v>
      </c>
      <c r="J72" s="151" t="e">
        <f ca="1">somaCodigoCartaoCreditoParceladoProximoMes(4,Classificacao!D6)</f>
        <v>#VALUE!</v>
      </c>
      <c r="K72" s="153" t="e">
        <f ca="1">somaCodigoCartaoCredito(4,Classificacao!D6)</f>
        <v>#VALUE!</v>
      </c>
      <c r="L72" s="151" t="e">
        <f ca="1">somaCodigoCartaoCreditoParceladoProximoMes(5,Classificacao!D6)</f>
        <v>#VALUE!</v>
      </c>
      <c r="M72" s="153" t="e">
        <f ca="1">somaCodigoCartaoCredito(5,Classificacao!D6)</f>
        <v>#VALUE!</v>
      </c>
      <c r="N72" s="151" t="e">
        <f ca="1">somaCodigoCartaoCreditoParceladoProximoMes(6,Classificacao!D6)</f>
        <v>#VALUE!</v>
      </c>
      <c r="O72" s="153" t="e">
        <f ca="1">somaCodigoCartaoCredito(6,Classificacao!D6)</f>
        <v>#VALUE!</v>
      </c>
      <c r="P72" s="151" t="e">
        <f ca="1">somaCodigoCartaoCreditoParceladoProximoMes(7,Classificacao!D6)</f>
        <v>#VALUE!</v>
      </c>
      <c r="Q72" s="153" t="e">
        <f ca="1">somaCodigoCartaoCredito(7,Classificacao!D6)</f>
        <v>#VALUE!</v>
      </c>
      <c r="R72" s="151" t="e">
        <f ca="1">somaCodigoCartaoCreditoParceladoProximoMes(8,Classificacao!D6)</f>
        <v>#VALUE!</v>
      </c>
      <c r="S72" s="153" t="e">
        <f ca="1">somaCodigoCartaoCredito(8,Classificacao!D6)</f>
        <v>#VALUE!</v>
      </c>
      <c r="T72" s="151" t="e">
        <f ca="1">somaCodigoCartaoCreditoParceladoProximoMes(9,Classificacao!D6)</f>
        <v>#VALUE!</v>
      </c>
      <c r="U72" s="153" t="e">
        <f ca="1">somaCodigoCartaoCredito(9,Classificacao!D6)</f>
        <v>#VALUE!</v>
      </c>
      <c r="V72" s="151" t="e">
        <f ca="1">somaCodigoCartaoCreditoParceladoProximoMes(10,Classificacao!D6)</f>
        <v>#VALUE!</v>
      </c>
      <c r="W72" s="153" t="e">
        <f ca="1">somaCodigoCartaoCredito(10,Classificacao!D6)</f>
        <v>#VALUE!</v>
      </c>
      <c r="X72" s="151" t="e">
        <f ca="1">somaCodigoCartaoCreditoParceladoProximoMes(11,Classificacao!D6)</f>
        <v>#VALUE!</v>
      </c>
      <c r="Y72" s="153" t="e">
        <f ca="1">somaCodigoCartaoCredito(11,Classificacao!D6)</f>
        <v>#VALUE!</v>
      </c>
      <c r="Z72" s="151" t="e">
        <f ca="1">somaCodigoCartaoCreditoParceladoProximoMes(12,Classificacao!D6)</f>
        <v>#VALUE!</v>
      </c>
      <c r="AA72" s="153" t="e">
        <f ca="1">somaCodigoCartaoCredito(12,Classificacao!D6)</f>
        <v>#VALUE!</v>
      </c>
      <c r="AB72" s="6"/>
      <c r="AC72" s="134"/>
      <c r="AE72" s="104"/>
      <c r="AF72" s="123" t="e">
        <f t="shared" ca="1" si="1"/>
        <v>#VALUE!</v>
      </c>
    </row>
    <row r="73" spans="1:32" ht="13.5" customHeight="1" outlineLevel="1">
      <c r="A73" s="134"/>
      <c r="B73" s="6"/>
      <c r="C73" s="159" t="str">
        <f>Classificacao!F7</f>
        <v>Jantar Fora</v>
      </c>
      <c r="D73" s="151">
        <f ca="1">somaCodigoCartaoCreditoParceladoProximoMes(1,Classificacao!D7)</f>
        <v>0</v>
      </c>
      <c r="E73" s="153">
        <f ca="1">somaCodigoCartaoCredito(1,Classificacao!D7)</f>
        <v>0</v>
      </c>
      <c r="F73" s="151" t="e">
        <f ca="1">somaCodigoCartaoCreditoParceladoProximoMes(2,Classificacao!D7)</f>
        <v>#VALUE!</v>
      </c>
      <c r="G73" s="153" t="e">
        <f ca="1">somaCodigoCartaoCredito(2,Classificacao!D7)</f>
        <v>#VALUE!</v>
      </c>
      <c r="H73" s="151" t="e">
        <f ca="1">somaCodigoCartaoCreditoParceladoProximoMes(3,Classificacao!D7)</f>
        <v>#VALUE!</v>
      </c>
      <c r="I73" s="153" t="e">
        <f ca="1">somaCodigoCartaoCredito(3,Classificacao!D7)</f>
        <v>#VALUE!</v>
      </c>
      <c r="J73" s="151" t="e">
        <f ca="1">somaCodigoCartaoCreditoParceladoProximoMes(4,Classificacao!D7)</f>
        <v>#VALUE!</v>
      </c>
      <c r="K73" s="153" t="e">
        <f ca="1">somaCodigoCartaoCredito(4,Classificacao!D7)</f>
        <v>#VALUE!</v>
      </c>
      <c r="L73" s="151" t="e">
        <f ca="1">somaCodigoCartaoCreditoParceladoProximoMes(5,Classificacao!D7)</f>
        <v>#VALUE!</v>
      </c>
      <c r="M73" s="153" t="e">
        <f ca="1">somaCodigoCartaoCredito(5,Classificacao!D7)</f>
        <v>#VALUE!</v>
      </c>
      <c r="N73" s="151" t="e">
        <f ca="1">somaCodigoCartaoCreditoParceladoProximoMes(6,Classificacao!D7)</f>
        <v>#VALUE!</v>
      </c>
      <c r="O73" s="153" t="e">
        <f ca="1">somaCodigoCartaoCredito(6,Classificacao!D7)</f>
        <v>#VALUE!</v>
      </c>
      <c r="P73" s="151" t="e">
        <f ca="1">somaCodigoCartaoCreditoParceladoProximoMes(7,Classificacao!D7)</f>
        <v>#VALUE!</v>
      </c>
      <c r="Q73" s="153" t="e">
        <f ca="1">somaCodigoCartaoCredito(7,Classificacao!D7)</f>
        <v>#VALUE!</v>
      </c>
      <c r="R73" s="151" t="e">
        <f ca="1">somaCodigoCartaoCreditoParceladoProximoMes(8,Classificacao!D7)</f>
        <v>#VALUE!</v>
      </c>
      <c r="S73" s="153" t="e">
        <f ca="1">somaCodigoCartaoCredito(8,Classificacao!D7)</f>
        <v>#VALUE!</v>
      </c>
      <c r="T73" s="151" t="e">
        <f ca="1">somaCodigoCartaoCreditoParceladoProximoMes(9,Classificacao!D7)</f>
        <v>#VALUE!</v>
      </c>
      <c r="U73" s="153" t="e">
        <f ca="1">somaCodigoCartaoCredito(9,Classificacao!D7)</f>
        <v>#VALUE!</v>
      </c>
      <c r="V73" s="151" t="e">
        <f ca="1">somaCodigoCartaoCreditoParceladoProximoMes(10,Classificacao!D7)</f>
        <v>#VALUE!</v>
      </c>
      <c r="W73" s="153" t="e">
        <f ca="1">somaCodigoCartaoCredito(10,Classificacao!D7)</f>
        <v>#VALUE!</v>
      </c>
      <c r="X73" s="151" t="e">
        <f ca="1">somaCodigoCartaoCreditoParceladoProximoMes(11,Classificacao!D7)</f>
        <v>#VALUE!</v>
      </c>
      <c r="Y73" s="153" t="e">
        <f ca="1">somaCodigoCartaoCredito(11,Classificacao!D7)</f>
        <v>#VALUE!</v>
      </c>
      <c r="Z73" s="151" t="e">
        <f ca="1">somaCodigoCartaoCreditoParceladoProximoMes(12,Classificacao!D7)</f>
        <v>#VALUE!</v>
      </c>
      <c r="AA73" s="153" t="e">
        <f ca="1">somaCodigoCartaoCredito(12,Classificacao!D7)</f>
        <v>#VALUE!</v>
      </c>
      <c r="AB73" s="6"/>
      <c r="AC73" s="134"/>
      <c r="AE73" s="104"/>
      <c r="AF73" s="123" t="e">
        <f t="shared" ca="1" si="1"/>
        <v>#VALUE!</v>
      </c>
    </row>
    <row r="74" spans="1:32" ht="13.5" customHeight="1" outlineLevel="1">
      <c r="A74" s="134"/>
      <c r="B74" s="6"/>
      <c r="C74" s="159" t="str">
        <f>Classificacao!F8</f>
        <v>Presentes</v>
      </c>
      <c r="D74" s="151">
        <f ca="1">somaCodigoCartaoCreditoParceladoProximoMes(1,Classificacao!D8)</f>
        <v>0</v>
      </c>
      <c r="E74" s="153">
        <f ca="1">somaCodigoCartaoCredito(1,Classificacao!D8)</f>
        <v>0</v>
      </c>
      <c r="F74" s="151" t="e">
        <f ca="1">somaCodigoCartaoCreditoParceladoProximoMes(2,Classificacao!D8)</f>
        <v>#VALUE!</v>
      </c>
      <c r="G74" s="153" t="e">
        <f ca="1">somaCodigoCartaoCredito(2,Classificacao!D8)</f>
        <v>#VALUE!</v>
      </c>
      <c r="H74" s="151" t="e">
        <f ca="1">somaCodigoCartaoCreditoParceladoProximoMes(3,Classificacao!D8)</f>
        <v>#VALUE!</v>
      </c>
      <c r="I74" s="153" t="e">
        <f ca="1">somaCodigoCartaoCredito(3,Classificacao!D8)</f>
        <v>#VALUE!</v>
      </c>
      <c r="J74" s="151" t="e">
        <f ca="1">somaCodigoCartaoCreditoParceladoProximoMes(4,Classificacao!D8)</f>
        <v>#VALUE!</v>
      </c>
      <c r="K74" s="153" t="e">
        <f ca="1">somaCodigoCartaoCredito(4,Classificacao!D8)</f>
        <v>#VALUE!</v>
      </c>
      <c r="L74" s="151" t="e">
        <f ca="1">somaCodigoCartaoCreditoParceladoProximoMes(5,Classificacao!D8)</f>
        <v>#VALUE!</v>
      </c>
      <c r="M74" s="153" t="e">
        <f ca="1">somaCodigoCartaoCredito(5,Classificacao!D8)</f>
        <v>#VALUE!</v>
      </c>
      <c r="N74" s="151" t="e">
        <f ca="1">somaCodigoCartaoCreditoParceladoProximoMes(6,Classificacao!D8)</f>
        <v>#VALUE!</v>
      </c>
      <c r="O74" s="153" t="e">
        <f ca="1">somaCodigoCartaoCredito(6,Classificacao!D8)</f>
        <v>#VALUE!</v>
      </c>
      <c r="P74" s="151" t="e">
        <f ca="1">somaCodigoCartaoCreditoParceladoProximoMes(7,Classificacao!D8)</f>
        <v>#VALUE!</v>
      </c>
      <c r="Q74" s="153" t="e">
        <f ca="1">somaCodigoCartaoCredito(7,Classificacao!D8)</f>
        <v>#VALUE!</v>
      </c>
      <c r="R74" s="151" t="e">
        <f ca="1">somaCodigoCartaoCreditoParceladoProximoMes(8,Classificacao!D8)</f>
        <v>#VALUE!</v>
      </c>
      <c r="S74" s="153" t="e">
        <f ca="1">somaCodigoCartaoCredito(8,Classificacao!D8)</f>
        <v>#VALUE!</v>
      </c>
      <c r="T74" s="151" t="e">
        <f ca="1">somaCodigoCartaoCreditoParceladoProximoMes(9,Classificacao!D8)</f>
        <v>#VALUE!</v>
      </c>
      <c r="U74" s="153" t="e">
        <f ca="1">somaCodigoCartaoCredito(9,Classificacao!D8)</f>
        <v>#VALUE!</v>
      </c>
      <c r="V74" s="151" t="e">
        <f ca="1">somaCodigoCartaoCreditoParceladoProximoMes(10,Classificacao!D8)</f>
        <v>#VALUE!</v>
      </c>
      <c r="W74" s="153" t="e">
        <f ca="1">somaCodigoCartaoCredito(10,Classificacao!D8)</f>
        <v>#VALUE!</v>
      </c>
      <c r="X74" s="151" t="e">
        <f ca="1">somaCodigoCartaoCreditoParceladoProximoMes(11,Classificacao!D8)</f>
        <v>#VALUE!</v>
      </c>
      <c r="Y74" s="153" t="e">
        <f ca="1">somaCodigoCartaoCredito(11,Classificacao!D8)</f>
        <v>#VALUE!</v>
      </c>
      <c r="Z74" s="151" t="e">
        <f ca="1">somaCodigoCartaoCreditoParceladoProximoMes(12,Classificacao!D8)</f>
        <v>#VALUE!</v>
      </c>
      <c r="AA74" s="153" t="e">
        <f ca="1">somaCodigoCartaoCredito(12,Classificacao!D8)</f>
        <v>#VALUE!</v>
      </c>
      <c r="AB74" s="6"/>
      <c r="AC74" s="134"/>
      <c r="AE74" s="104"/>
      <c r="AF74" s="123" t="e">
        <f t="shared" ca="1" si="1"/>
        <v>#VALUE!</v>
      </c>
    </row>
    <row r="75" spans="1:32" ht="13.5" customHeight="1" outlineLevel="1">
      <c r="A75" s="134"/>
      <c r="B75" s="6"/>
      <c r="C75" s="159" t="str">
        <f>Classificacao!F9</f>
        <v>Salão</v>
      </c>
      <c r="D75" s="151">
        <f ca="1">somaCodigoCartaoCreditoParceladoProximoMes(1,Classificacao!D9)</f>
        <v>0</v>
      </c>
      <c r="E75" s="153">
        <f ca="1">somaCodigoCartaoCredito(1,Classificacao!D9)</f>
        <v>0</v>
      </c>
      <c r="F75" s="151" t="e">
        <f ca="1">somaCodigoCartaoCreditoParceladoProximoMes(2,Classificacao!D9)</f>
        <v>#VALUE!</v>
      </c>
      <c r="G75" s="153" t="e">
        <f ca="1">somaCodigoCartaoCredito(2,Classificacao!D9)</f>
        <v>#VALUE!</v>
      </c>
      <c r="H75" s="151" t="e">
        <f ca="1">somaCodigoCartaoCreditoParceladoProximoMes(3,Classificacao!D9)</f>
        <v>#VALUE!</v>
      </c>
      <c r="I75" s="153" t="e">
        <f ca="1">somaCodigoCartaoCredito(3,Classificacao!D9)</f>
        <v>#VALUE!</v>
      </c>
      <c r="J75" s="151" t="e">
        <f ca="1">somaCodigoCartaoCreditoParceladoProximoMes(4,Classificacao!D9)</f>
        <v>#VALUE!</v>
      </c>
      <c r="K75" s="153" t="e">
        <f ca="1">somaCodigoCartaoCredito(4,Classificacao!D9)</f>
        <v>#VALUE!</v>
      </c>
      <c r="L75" s="151" t="e">
        <f ca="1">somaCodigoCartaoCreditoParceladoProximoMes(5,Classificacao!D9)</f>
        <v>#VALUE!</v>
      </c>
      <c r="M75" s="153" t="e">
        <f ca="1">somaCodigoCartaoCredito(5,Classificacao!D9)</f>
        <v>#VALUE!</v>
      </c>
      <c r="N75" s="151" t="e">
        <f ca="1">somaCodigoCartaoCreditoParceladoProximoMes(6,Classificacao!D9)</f>
        <v>#VALUE!</v>
      </c>
      <c r="O75" s="153" t="e">
        <f ca="1">somaCodigoCartaoCredito(6,Classificacao!D9)</f>
        <v>#VALUE!</v>
      </c>
      <c r="P75" s="151" t="e">
        <f ca="1">somaCodigoCartaoCreditoParceladoProximoMes(7,Classificacao!D9)</f>
        <v>#VALUE!</v>
      </c>
      <c r="Q75" s="153" t="e">
        <f ca="1">somaCodigoCartaoCredito(7,Classificacao!D9)</f>
        <v>#VALUE!</v>
      </c>
      <c r="R75" s="151" t="e">
        <f ca="1">somaCodigoCartaoCreditoParceladoProximoMes(8,Classificacao!D9)</f>
        <v>#VALUE!</v>
      </c>
      <c r="S75" s="153" t="e">
        <f ca="1">somaCodigoCartaoCredito(8,Classificacao!D9)</f>
        <v>#VALUE!</v>
      </c>
      <c r="T75" s="151" t="e">
        <f ca="1">somaCodigoCartaoCreditoParceladoProximoMes(9,Classificacao!D9)</f>
        <v>#VALUE!</v>
      </c>
      <c r="U75" s="153" t="e">
        <f ca="1">somaCodigoCartaoCredito(9,Classificacao!D9)</f>
        <v>#VALUE!</v>
      </c>
      <c r="V75" s="151" t="e">
        <f ca="1">somaCodigoCartaoCreditoParceladoProximoMes(10,Classificacao!D9)</f>
        <v>#VALUE!</v>
      </c>
      <c r="W75" s="153" t="e">
        <f ca="1">somaCodigoCartaoCredito(10,Classificacao!D9)</f>
        <v>#VALUE!</v>
      </c>
      <c r="X75" s="151" t="e">
        <f ca="1">somaCodigoCartaoCreditoParceladoProximoMes(11,Classificacao!D9)</f>
        <v>#VALUE!</v>
      </c>
      <c r="Y75" s="153" t="e">
        <f ca="1">somaCodigoCartaoCredito(11,Classificacao!D9)</f>
        <v>#VALUE!</v>
      </c>
      <c r="Z75" s="151" t="e">
        <f ca="1">somaCodigoCartaoCreditoParceladoProximoMes(12,Classificacao!D9)</f>
        <v>#VALUE!</v>
      </c>
      <c r="AA75" s="153" t="e">
        <f ca="1">somaCodigoCartaoCredito(12,Classificacao!D9)</f>
        <v>#VALUE!</v>
      </c>
      <c r="AB75" s="6"/>
      <c r="AC75" s="134"/>
      <c r="AE75" s="104"/>
      <c r="AF75" s="123" t="e">
        <f t="shared" ca="1" si="1"/>
        <v>#VALUE!</v>
      </c>
    </row>
    <row r="76" spans="1:32" ht="13.5" customHeight="1" outlineLevel="1">
      <c r="A76" s="134"/>
      <c r="B76" s="6"/>
      <c r="C76" s="159" t="str">
        <f>Classificacao!F10</f>
        <v>Artigos para casa</v>
      </c>
      <c r="D76" s="151">
        <f ca="1">somaCodigoCartaoCreditoParceladoProximoMes(1,Classificacao!D10)</f>
        <v>0</v>
      </c>
      <c r="E76" s="153">
        <f ca="1">somaCodigoCartaoCredito(1,Classificacao!D10)</f>
        <v>0</v>
      </c>
      <c r="F76" s="151" t="e">
        <f ca="1">somaCodigoCartaoCreditoParceladoProximoMes(2,Classificacao!D10)</f>
        <v>#VALUE!</v>
      </c>
      <c r="G76" s="153" t="e">
        <f ca="1">somaCodigoCartaoCredito(2,Classificacao!D10)</f>
        <v>#VALUE!</v>
      </c>
      <c r="H76" s="151" t="e">
        <f ca="1">somaCodigoCartaoCreditoParceladoProximoMes(3,Classificacao!D10)</f>
        <v>#VALUE!</v>
      </c>
      <c r="I76" s="153" t="e">
        <f ca="1">somaCodigoCartaoCredito(3,Classificacao!D10)</f>
        <v>#VALUE!</v>
      </c>
      <c r="J76" s="151" t="e">
        <f ca="1">somaCodigoCartaoCreditoParceladoProximoMes(4,Classificacao!D10)</f>
        <v>#VALUE!</v>
      </c>
      <c r="K76" s="153" t="e">
        <f ca="1">somaCodigoCartaoCredito(4,Classificacao!D10)</f>
        <v>#VALUE!</v>
      </c>
      <c r="L76" s="151" t="e">
        <f ca="1">somaCodigoCartaoCreditoParceladoProximoMes(5,Classificacao!D10)</f>
        <v>#VALUE!</v>
      </c>
      <c r="M76" s="153" t="e">
        <f ca="1">somaCodigoCartaoCredito(5,Classificacao!D10)</f>
        <v>#VALUE!</v>
      </c>
      <c r="N76" s="151" t="e">
        <f ca="1">somaCodigoCartaoCreditoParceladoProximoMes(6,Classificacao!D10)</f>
        <v>#VALUE!</v>
      </c>
      <c r="O76" s="153" t="e">
        <f ca="1">somaCodigoCartaoCredito(6,Classificacao!D10)</f>
        <v>#VALUE!</v>
      </c>
      <c r="P76" s="151" t="e">
        <f ca="1">somaCodigoCartaoCreditoParceladoProximoMes(7,Classificacao!D10)</f>
        <v>#VALUE!</v>
      </c>
      <c r="Q76" s="153" t="e">
        <f ca="1">somaCodigoCartaoCredito(7,Classificacao!D10)</f>
        <v>#VALUE!</v>
      </c>
      <c r="R76" s="151" t="e">
        <f ca="1">somaCodigoCartaoCreditoParceladoProximoMes(8,Classificacao!D10)</f>
        <v>#VALUE!</v>
      </c>
      <c r="S76" s="153" t="e">
        <f ca="1">somaCodigoCartaoCredito(8,Classificacao!D10)</f>
        <v>#VALUE!</v>
      </c>
      <c r="T76" s="151" t="e">
        <f ca="1">somaCodigoCartaoCreditoParceladoProximoMes(9,Classificacao!D10)</f>
        <v>#VALUE!</v>
      </c>
      <c r="U76" s="153" t="e">
        <f ca="1">somaCodigoCartaoCredito(9,Classificacao!D10)</f>
        <v>#VALUE!</v>
      </c>
      <c r="V76" s="151" t="e">
        <f ca="1">somaCodigoCartaoCreditoParceladoProximoMes(10,Classificacao!D10)</f>
        <v>#VALUE!</v>
      </c>
      <c r="W76" s="153" t="e">
        <f ca="1">somaCodigoCartaoCredito(10,Classificacao!D10)</f>
        <v>#VALUE!</v>
      </c>
      <c r="X76" s="151" t="e">
        <f ca="1">somaCodigoCartaoCreditoParceladoProximoMes(11,Classificacao!D10)</f>
        <v>#VALUE!</v>
      </c>
      <c r="Y76" s="153" t="e">
        <f ca="1">somaCodigoCartaoCredito(11,Classificacao!D10)</f>
        <v>#VALUE!</v>
      </c>
      <c r="Z76" s="151" t="e">
        <f ca="1">somaCodigoCartaoCreditoParceladoProximoMes(12,Classificacao!D10)</f>
        <v>#VALUE!</v>
      </c>
      <c r="AA76" s="153" t="e">
        <f ca="1">somaCodigoCartaoCredito(12,Classificacao!D10)</f>
        <v>#VALUE!</v>
      </c>
      <c r="AB76" s="6"/>
      <c r="AC76" s="134"/>
      <c r="AE76" s="104"/>
      <c r="AF76" s="123" t="e">
        <f t="shared" ca="1" si="1"/>
        <v>#VALUE!</v>
      </c>
    </row>
    <row r="77" spans="1:32" ht="13.5" customHeight="1" outlineLevel="1">
      <c r="A77" s="134"/>
      <c r="B77" s="6"/>
      <c r="C77" s="159" t="str">
        <f>Classificacao!F11</f>
        <v>Informática</v>
      </c>
      <c r="D77" s="151">
        <f ca="1">somaCodigoCartaoCreditoParceladoProximoMes(1,Classificacao!D11)</f>
        <v>0</v>
      </c>
      <c r="E77" s="153">
        <f ca="1">somaCodigoCartaoCredito(1,Classificacao!D11)</f>
        <v>0</v>
      </c>
      <c r="F77" s="151" t="e">
        <f ca="1">somaCodigoCartaoCreditoParceladoProximoMes(2,Classificacao!D11)</f>
        <v>#VALUE!</v>
      </c>
      <c r="G77" s="153" t="e">
        <f ca="1">somaCodigoCartaoCredito(2,Classificacao!D11)</f>
        <v>#VALUE!</v>
      </c>
      <c r="H77" s="151" t="e">
        <f ca="1">somaCodigoCartaoCreditoParceladoProximoMes(3,Classificacao!D11)</f>
        <v>#VALUE!</v>
      </c>
      <c r="I77" s="153" t="e">
        <f ca="1">somaCodigoCartaoCredito(3,Classificacao!D11)</f>
        <v>#VALUE!</v>
      </c>
      <c r="J77" s="151" t="e">
        <f ca="1">somaCodigoCartaoCreditoParceladoProximoMes(4,Classificacao!D11)</f>
        <v>#VALUE!</v>
      </c>
      <c r="K77" s="153" t="e">
        <f ca="1">somaCodigoCartaoCredito(4,Classificacao!D11)</f>
        <v>#VALUE!</v>
      </c>
      <c r="L77" s="151" t="e">
        <f ca="1">somaCodigoCartaoCreditoParceladoProximoMes(5,Classificacao!D11)</f>
        <v>#VALUE!</v>
      </c>
      <c r="M77" s="153" t="e">
        <f ca="1">somaCodigoCartaoCredito(5,Classificacao!D11)</f>
        <v>#VALUE!</v>
      </c>
      <c r="N77" s="151" t="e">
        <f ca="1">somaCodigoCartaoCreditoParceladoProximoMes(6,Classificacao!D11)</f>
        <v>#VALUE!</v>
      </c>
      <c r="O77" s="153" t="e">
        <f ca="1">somaCodigoCartaoCredito(6,Classificacao!D11)</f>
        <v>#VALUE!</v>
      </c>
      <c r="P77" s="151" t="e">
        <f ca="1">somaCodigoCartaoCreditoParceladoProximoMes(7,Classificacao!D11)</f>
        <v>#VALUE!</v>
      </c>
      <c r="Q77" s="153" t="e">
        <f ca="1">somaCodigoCartaoCredito(7,Classificacao!D11)</f>
        <v>#VALUE!</v>
      </c>
      <c r="R77" s="151" t="e">
        <f ca="1">somaCodigoCartaoCreditoParceladoProximoMes(8,Classificacao!D11)</f>
        <v>#VALUE!</v>
      </c>
      <c r="S77" s="153" t="e">
        <f ca="1">somaCodigoCartaoCredito(8,Classificacao!D11)</f>
        <v>#VALUE!</v>
      </c>
      <c r="T77" s="151" t="e">
        <f ca="1">somaCodigoCartaoCreditoParceladoProximoMes(9,Classificacao!D11)</f>
        <v>#VALUE!</v>
      </c>
      <c r="U77" s="153" t="e">
        <f ca="1">somaCodigoCartaoCredito(9,Classificacao!D11)</f>
        <v>#VALUE!</v>
      </c>
      <c r="V77" s="151" t="e">
        <f ca="1">somaCodigoCartaoCreditoParceladoProximoMes(10,Classificacao!D11)</f>
        <v>#VALUE!</v>
      </c>
      <c r="W77" s="153" t="e">
        <f ca="1">somaCodigoCartaoCredito(10,Classificacao!D11)</f>
        <v>#VALUE!</v>
      </c>
      <c r="X77" s="151" t="e">
        <f ca="1">somaCodigoCartaoCreditoParceladoProximoMes(11,Classificacao!D11)</f>
        <v>#VALUE!</v>
      </c>
      <c r="Y77" s="153" t="e">
        <f ca="1">somaCodigoCartaoCredito(11,Classificacao!D11)</f>
        <v>#VALUE!</v>
      </c>
      <c r="Z77" s="151" t="e">
        <f ca="1">somaCodigoCartaoCreditoParceladoProximoMes(12,Classificacao!D11)</f>
        <v>#VALUE!</v>
      </c>
      <c r="AA77" s="153" t="e">
        <f ca="1">somaCodigoCartaoCredito(12,Classificacao!D11)</f>
        <v>#VALUE!</v>
      </c>
      <c r="AB77" s="6"/>
      <c r="AC77" s="134"/>
      <c r="AE77" s="104"/>
      <c r="AF77" s="123" t="e">
        <f t="shared" ca="1" si="1"/>
        <v>#VALUE!</v>
      </c>
    </row>
    <row r="78" spans="1:32" ht="13.5" customHeight="1" outlineLevel="1">
      <c r="A78" s="134"/>
      <c r="B78" s="6"/>
      <c r="C78" s="159">
        <f>Classificacao!F12</f>
        <v>0</v>
      </c>
      <c r="D78" s="151">
        <f ca="1">somaCodigoCartaoCreditoParceladoProximoMes(1,Classificacao!D12)</f>
        <v>0</v>
      </c>
      <c r="E78" s="153">
        <f ca="1">somaCodigoCartaoCredito(1,Classificacao!D12)</f>
        <v>0</v>
      </c>
      <c r="F78" s="151" t="e">
        <f ca="1">somaCodigoCartaoCreditoParceladoProximoMes(2,Classificacao!D12)</f>
        <v>#VALUE!</v>
      </c>
      <c r="G78" s="153" t="e">
        <f ca="1">somaCodigoCartaoCredito(2,Classificacao!D12)</f>
        <v>#VALUE!</v>
      </c>
      <c r="H78" s="151" t="e">
        <f ca="1">somaCodigoCartaoCreditoParceladoProximoMes(3,Classificacao!D12)</f>
        <v>#VALUE!</v>
      </c>
      <c r="I78" s="153" t="e">
        <f ca="1">somaCodigoCartaoCredito(3,Classificacao!D12)</f>
        <v>#VALUE!</v>
      </c>
      <c r="J78" s="151" t="e">
        <f ca="1">somaCodigoCartaoCreditoParceladoProximoMes(4,Classificacao!D12)</f>
        <v>#VALUE!</v>
      </c>
      <c r="K78" s="153" t="e">
        <f ca="1">somaCodigoCartaoCredito(4,Classificacao!D12)</f>
        <v>#VALUE!</v>
      </c>
      <c r="L78" s="151" t="e">
        <f ca="1">somaCodigoCartaoCreditoParceladoProximoMes(5,Classificacao!D12)</f>
        <v>#VALUE!</v>
      </c>
      <c r="M78" s="153" t="e">
        <f ca="1">somaCodigoCartaoCredito(5,Classificacao!D12)</f>
        <v>#VALUE!</v>
      </c>
      <c r="N78" s="151" t="e">
        <f ca="1">somaCodigoCartaoCreditoParceladoProximoMes(6,Classificacao!D12)</f>
        <v>#VALUE!</v>
      </c>
      <c r="O78" s="153" t="e">
        <f ca="1">somaCodigoCartaoCredito(6,Classificacao!D12)</f>
        <v>#VALUE!</v>
      </c>
      <c r="P78" s="151" t="e">
        <f ca="1">somaCodigoCartaoCreditoParceladoProximoMes(7,Classificacao!D12)</f>
        <v>#VALUE!</v>
      </c>
      <c r="Q78" s="153" t="e">
        <f ca="1">somaCodigoCartaoCredito(7,Classificacao!D12)</f>
        <v>#VALUE!</v>
      </c>
      <c r="R78" s="151" t="e">
        <f ca="1">somaCodigoCartaoCreditoParceladoProximoMes(8,Classificacao!D12)</f>
        <v>#VALUE!</v>
      </c>
      <c r="S78" s="153" t="e">
        <f ca="1">somaCodigoCartaoCredito(8,Classificacao!D12)</f>
        <v>#VALUE!</v>
      </c>
      <c r="T78" s="151" t="e">
        <f ca="1">somaCodigoCartaoCreditoParceladoProximoMes(9,Classificacao!D12)</f>
        <v>#VALUE!</v>
      </c>
      <c r="U78" s="153" t="e">
        <f ca="1">somaCodigoCartaoCredito(9,Classificacao!D12)</f>
        <v>#VALUE!</v>
      </c>
      <c r="V78" s="151" t="e">
        <f ca="1">somaCodigoCartaoCreditoParceladoProximoMes(10,Classificacao!D12)</f>
        <v>#VALUE!</v>
      </c>
      <c r="W78" s="153" t="e">
        <f ca="1">somaCodigoCartaoCredito(10,Classificacao!D12)</f>
        <v>#VALUE!</v>
      </c>
      <c r="X78" s="151" t="e">
        <f ca="1">somaCodigoCartaoCreditoParceladoProximoMes(11,Classificacao!D12)</f>
        <v>#VALUE!</v>
      </c>
      <c r="Y78" s="153" t="e">
        <f ca="1">somaCodigoCartaoCredito(11,Classificacao!D12)</f>
        <v>#VALUE!</v>
      </c>
      <c r="Z78" s="151" t="e">
        <f ca="1">somaCodigoCartaoCreditoParceladoProximoMes(12,Classificacao!D12)</f>
        <v>#VALUE!</v>
      </c>
      <c r="AA78" s="153" t="e">
        <f ca="1">somaCodigoCartaoCredito(12,Classificacao!D12)</f>
        <v>#VALUE!</v>
      </c>
      <c r="AB78" s="6"/>
      <c r="AC78" s="134"/>
      <c r="AE78" s="104"/>
      <c r="AF78" s="123" t="e">
        <f t="shared" ca="1" si="1"/>
        <v>#VALUE!</v>
      </c>
    </row>
    <row r="79" spans="1:32" ht="13.5" customHeight="1" outlineLevel="1">
      <c r="A79" s="134"/>
      <c r="B79" s="6"/>
      <c r="C79" s="159">
        <f>Classificacao!F13</f>
        <v>0</v>
      </c>
      <c r="D79" s="151">
        <f ca="1">somaCodigoCartaoCreditoParceladoProximoMes(1,Classificacao!D13)</f>
        <v>0</v>
      </c>
      <c r="E79" s="153">
        <f ca="1">somaCodigoCartaoCredito(1,Classificacao!D13)</f>
        <v>0</v>
      </c>
      <c r="F79" s="151" t="e">
        <f ca="1">somaCodigoCartaoCreditoParceladoProximoMes(2,Classificacao!D13)</f>
        <v>#VALUE!</v>
      </c>
      <c r="G79" s="153" t="e">
        <f ca="1">somaCodigoCartaoCredito(2,Classificacao!D13)</f>
        <v>#VALUE!</v>
      </c>
      <c r="H79" s="151" t="e">
        <f ca="1">somaCodigoCartaoCreditoParceladoProximoMes(3,Classificacao!D13)</f>
        <v>#VALUE!</v>
      </c>
      <c r="I79" s="153" t="e">
        <f ca="1">somaCodigoCartaoCredito(3,Classificacao!D13)</f>
        <v>#VALUE!</v>
      </c>
      <c r="J79" s="151" t="e">
        <f ca="1">somaCodigoCartaoCreditoParceladoProximoMes(4,Classificacao!D13)</f>
        <v>#VALUE!</v>
      </c>
      <c r="K79" s="153" t="e">
        <f ca="1">somaCodigoCartaoCredito(4,Classificacao!D13)</f>
        <v>#VALUE!</v>
      </c>
      <c r="L79" s="151" t="e">
        <f ca="1">somaCodigoCartaoCreditoParceladoProximoMes(5,Classificacao!D13)</f>
        <v>#VALUE!</v>
      </c>
      <c r="M79" s="153" t="e">
        <f ca="1">somaCodigoCartaoCredito(5,Classificacao!D13)</f>
        <v>#VALUE!</v>
      </c>
      <c r="N79" s="151" t="e">
        <f ca="1">somaCodigoCartaoCreditoParceladoProximoMes(6,Classificacao!D13)</f>
        <v>#VALUE!</v>
      </c>
      <c r="O79" s="153" t="e">
        <f ca="1">somaCodigoCartaoCredito(6,Classificacao!D13)</f>
        <v>#VALUE!</v>
      </c>
      <c r="P79" s="151" t="e">
        <f ca="1">somaCodigoCartaoCreditoParceladoProximoMes(7,Classificacao!D13)</f>
        <v>#VALUE!</v>
      </c>
      <c r="Q79" s="153" t="e">
        <f ca="1">somaCodigoCartaoCredito(7,Classificacao!D13)</f>
        <v>#VALUE!</v>
      </c>
      <c r="R79" s="151" t="e">
        <f ca="1">somaCodigoCartaoCreditoParceladoProximoMes(8,Classificacao!D13)</f>
        <v>#VALUE!</v>
      </c>
      <c r="S79" s="153" t="e">
        <f ca="1">somaCodigoCartaoCredito(8,Classificacao!D13)</f>
        <v>#VALUE!</v>
      </c>
      <c r="T79" s="151" t="e">
        <f ca="1">somaCodigoCartaoCreditoParceladoProximoMes(9,Classificacao!D13)</f>
        <v>#VALUE!</v>
      </c>
      <c r="U79" s="153" t="e">
        <f ca="1">somaCodigoCartaoCredito(9,Classificacao!D13)</f>
        <v>#VALUE!</v>
      </c>
      <c r="V79" s="151" t="e">
        <f ca="1">somaCodigoCartaoCreditoParceladoProximoMes(10,Classificacao!D13)</f>
        <v>#VALUE!</v>
      </c>
      <c r="W79" s="153" t="e">
        <f ca="1">somaCodigoCartaoCredito(10,Classificacao!D13)</f>
        <v>#VALUE!</v>
      </c>
      <c r="X79" s="151" t="e">
        <f ca="1">somaCodigoCartaoCreditoParceladoProximoMes(11,Classificacao!D13)</f>
        <v>#VALUE!</v>
      </c>
      <c r="Y79" s="153" t="e">
        <f ca="1">somaCodigoCartaoCredito(11,Classificacao!D13)</f>
        <v>#VALUE!</v>
      </c>
      <c r="Z79" s="151" t="e">
        <f ca="1">somaCodigoCartaoCreditoParceladoProximoMes(12,Classificacao!D13)</f>
        <v>#VALUE!</v>
      </c>
      <c r="AA79" s="153" t="e">
        <f ca="1">somaCodigoCartaoCredito(12,Classificacao!D13)</f>
        <v>#VALUE!</v>
      </c>
      <c r="AB79" s="6"/>
      <c r="AC79" s="134"/>
      <c r="AE79" s="104"/>
      <c r="AF79" s="123" t="e">
        <f t="shared" ref="AF79:AF122" ca="1" si="3">AVERAGE(E79,G79,I79,K79,M79,O79,Q79,S79,U79,W79,Y79,AA79)</f>
        <v>#VALUE!</v>
      </c>
    </row>
    <row r="80" spans="1:32" ht="13.5" customHeight="1" outlineLevel="1">
      <c r="A80" s="134"/>
      <c r="B80" s="6"/>
      <c r="C80" s="159">
        <f>Classificacao!F14</f>
        <v>0</v>
      </c>
      <c r="D80" s="151">
        <f ca="1">somaCodigoCartaoCreditoParceladoProximoMes(1,Classificacao!D14)</f>
        <v>0</v>
      </c>
      <c r="E80" s="153">
        <f ca="1">somaCodigoCartaoCredito(1,Classificacao!D14)</f>
        <v>0</v>
      </c>
      <c r="F80" s="151" t="e">
        <f ca="1">somaCodigoCartaoCreditoParceladoProximoMes(2,Classificacao!D14)</f>
        <v>#VALUE!</v>
      </c>
      <c r="G80" s="153" t="e">
        <f ca="1">somaCodigoCartaoCredito(2,Classificacao!D14)</f>
        <v>#VALUE!</v>
      </c>
      <c r="H80" s="151" t="e">
        <f ca="1">somaCodigoCartaoCreditoParceladoProximoMes(3,Classificacao!D14)</f>
        <v>#VALUE!</v>
      </c>
      <c r="I80" s="153" t="e">
        <f ca="1">somaCodigoCartaoCredito(3,Classificacao!D14)</f>
        <v>#VALUE!</v>
      </c>
      <c r="J80" s="151" t="e">
        <f ca="1">somaCodigoCartaoCreditoParceladoProximoMes(4,Classificacao!D14)</f>
        <v>#VALUE!</v>
      </c>
      <c r="K80" s="153" t="e">
        <f ca="1">somaCodigoCartaoCredito(4,Classificacao!D14)</f>
        <v>#VALUE!</v>
      </c>
      <c r="L80" s="151" t="e">
        <f ca="1">somaCodigoCartaoCreditoParceladoProximoMes(5,Classificacao!D14)</f>
        <v>#VALUE!</v>
      </c>
      <c r="M80" s="153" t="e">
        <f ca="1">somaCodigoCartaoCredito(5,Classificacao!D14)</f>
        <v>#VALUE!</v>
      </c>
      <c r="N80" s="151" t="e">
        <f ca="1">somaCodigoCartaoCreditoParceladoProximoMes(6,Classificacao!D14)</f>
        <v>#VALUE!</v>
      </c>
      <c r="O80" s="153" t="e">
        <f ca="1">somaCodigoCartaoCredito(6,Classificacao!D14)</f>
        <v>#VALUE!</v>
      </c>
      <c r="P80" s="151" t="e">
        <f ca="1">somaCodigoCartaoCreditoParceladoProximoMes(7,Classificacao!D14)</f>
        <v>#VALUE!</v>
      </c>
      <c r="Q80" s="153" t="e">
        <f ca="1">somaCodigoCartaoCredito(7,Classificacao!D14)</f>
        <v>#VALUE!</v>
      </c>
      <c r="R80" s="151" t="e">
        <f ca="1">somaCodigoCartaoCreditoParceladoProximoMes(8,Classificacao!D14)</f>
        <v>#VALUE!</v>
      </c>
      <c r="S80" s="153" t="e">
        <f ca="1">somaCodigoCartaoCredito(8,Classificacao!D14)</f>
        <v>#VALUE!</v>
      </c>
      <c r="T80" s="151" t="e">
        <f ca="1">somaCodigoCartaoCreditoParceladoProximoMes(9,Classificacao!D14)</f>
        <v>#VALUE!</v>
      </c>
      <c r="U80" s="153" t="e">
        <f ca="1">somaCodigoCartaoCredito(9,Classificacao!D14)</f>
        <v>#VALUE!</v>
      </c>
      <c r="V80" s="151" t="e">
        <f ca="1">somaCodigoCartaoCreditoParceladoProximoMes(10,Classificacao!D14)</f>
        <v>#VALUE!</v>
      </c>
      <c r="W80" s="153" t="e">
        <f ca="1">somaCodigoCartaoCredito(10,Classificacao!D14)</f>
        <v>#VALUE!</v>
      </c>
      <c r="X80" s="151" t="e">
        <f ca="1">somaCodigoCartaoCreditoParceladoProximoMes(11,Classificacao!D14)</f>
        <v>#VALUE!</v>
      </c>
      <c r="Y80" s="153" t="e">
        <f ca="1">somaCodigoCartaoCredito(11,Classificacao!D14)</f>
        <v>#VALUE!</v>
      </c>
      <c r="Z80" s="151" t="e">
        <f ca="1">somaCodigoCartaoCreditoParceladoProximoMes(12,Classificacao!D14)</f>
        <v>#VALUE!</v>
      </c>
      <c r="AA80" s="153" t="e">
        <f ca="1">somaCodigoCartaoCredito(12,Classificacao!D14)</f>
        <v>#VALUE!</v>
      </c>
      <c r="AB80" s="6"/>
      <c r="AC80" s="134"/>
      <c r="AE80" s="104"/>
      <c r="AF80" s="123" t="e">
        <f t="shared" ca="1" si="3"/>
        <v>#VALUE!</v>
      </c>
    </row>
    <row r="81" spans="1:32" ht="13.5" customHeight="1" outlineLevel="1">
      <c r="A81" s="134"/>
      <c r="B81" s="6"/>
      <c r="C81" s="159">
        <f>Classificacao!F15</f>
        <v>0</v>
      </c>
      <c r="D81" s="151">
        <f ca="1">somaCodigoCartaoCreditoParceladoProximoMes(1,Classificacao!D15)</f>
        <v>0</v>
      </c>
      <c r="E81" s="153">
        <f ca="1">somaCodigoCartaoCredito(1,Classificacao!D15)</f>
        <v>0</v>
      </c>
      <c r="F81" s="151" t="e">
        <f ca="1">somaCodigoCartaoCreditoParceladoProximoMes(2,Classificacao!D15)</f>
        <v>#VALUE!</v>
      </c>
      <c r="G81" s="153" t="e">
        <f ca="1">somaCodigoCartaoCredito(2,Classificacao!D15)</f>
        <v>#VALUE!</v>
      </c>
      <c r="H81" s="151" t="e">
        <f ca="1">somaCodigoCartaoCreditoParceladoProximoMes(3,Classificacao!D15)</f>
        <v>#VALUE!</v>
      </c>
      <c r="I81" s="153" t="e">
        <f ca="1">somaCodigoCartaoCredito(3,Classificacao!D15)</f>
        <v>#VALUE!</v>
      </c>
      <c r="J81" s="151" t="e">
        <f ca="1">somaCodigoCartaoCreditoParceladoProximoMes(4,Classificacao!D15)</f>
        <v>#VALUE!</v>
      </c>
      <c r="K81" s="153" t="e">
        <f ca="1">somaCodigoCartaoCredito(4,Classificacao!D15)</f>
        <v>#VALUE!</v>
      </c>
      <c r="L81" s="151" t="e">
        <f ca="1">somaCodigoCartaoCreditoParceladoProximoMes(5,Classificacao!D15)</f>
        <v>#VALUE!</v>
      </c>
      <c r="M81" s="153" t="e">
        <f ca="1">somaCodigoCartaoCredito(5,Classificacao!D15)</f>
        <v>#VALUE!</v>
      </c>
      <c r="N81" s="151" t="e">
        <f ca="1">somaCodigoCartaoCreditoParceladoProximoMes(6,Classificacao!D15)</f>
        <v>#VALUE!</v>
      </c>
      <c r="O81" s="153" t="e">
        <f ca="1">somaCodigoCartaoCredito(6,Classificacao!D15)</f>
        <v>#VALUE!</v>
      </c>
      <c r="P81" s="151" t="e">
        <f ca="1">somaCodigoCartaoCreditoParceladoProximoMes(7,Classificacao!D15)</f>
        <v>#VALUE!</v>
      </c>
      <c r="Q81" s="153" t="e">
        <f ca="1">somaCodigoCartaoCredito(7,Classificacao!D15)</f>
        <v>#VALUE!</v>
      </c>
      <c r="R81" s="151" t="e">
        <f ca="1">somaCodigoCartaoCreditoParceladoProximoMes(8,Classificacao!D15)</f>
        <v>#VALUE!</v>
      </c>
      <c r="S81" s="153" t="e">
        <f ca="1">somaCodigoCartaoCredito(8,Classificacao!D15)</f>
        <v>#VALUE!</v>
      </c>
      <c r="T81" s="151" t="e">
        <f ca="1">somaCodigoCartaoCreditoParceladoProximoMes(9,Classificacao!D15)</f>
        <v>#VALUE!</v>
      </c>
      <c r="U81" s="153" t="e">
        <f ca="1">somaCodigoCartaoCredito(9,Classificacao!D15)</f>
        <v>#VALUE!</v>
      </c>
      <c r="V81" s="151" t="e">
        <f ca="1">somaCodigoCartaoCreditoParceladoProximoMes(10,Classificacao!D15)</f>
        <v>#VALUE!</v>
      </c>
      <c r="W81" s="153" t="e">
        <f ca="1">somaCodigoCartaoCredito(10,Classificacao!D15)</f>
        <v>#VALUE!</v>
      </c>
      <c r="X81" s="151" t="e">
        <f ca="1">somaCodigoCartaoCreditoParceladoProximoMes(11,Classificacao!D15)</f>
        <v>#VALUE!</v>
      </c>
      <c r="Y81" s="153" t="e">
        <f ca="1">somaCodigoCartaoCredito(11,Classificacao!D15)</f>
        <v>#VALUE!</v>
      </c>
      <c r="Z81" s="151" t="e">
        <f ca="1">somaCodigoCartaoCreditoParceladoProximoMes(12,Classificacao!D15)</f>
        <v>#VALUE!</v>
      </c>
      <c r="AA81" s="153" t="e">
        <f ca="1">somaCodigoCartaoCredito(12,Classificacao!D15)</f>
        <v>#VALUE!</v>
      </c>
      <c r="AB81" s="6"/>
      <c r="AC81" s="134"/>
      <c r="AE81" s="104"/>
      <c r="AF81" s="123" t="e">
        <f t="shared" ca="1" si="3"/>
        <v>#VALUE!</v>
      </c>
    </row>
    <row r="82" spans="1:32" ht="13.5" customHeight="1" outlineLevel="1">
      <c r="A82" s="134"/>
      <c r="B82" s="6"/>
      <c r="C82" s="159">
        <f>Classificacao!F16</f>
        <v>0</v>
      </c>
      <c r="D82" s="151">
        <f ca="1">somaCodigoCartaoCreditoParceladoProximoMes(1,Classificacao!D16)</f>
        <v>0</v>
      </c>
      <c r="E82" s="153">
        <f ca="1">somaCodigoCartaoCredito(1,Classificacao!D16)</f>
        <v>0</v>
      </c>
      <c r="F82" s="151" t="e">
        <f ca="1">somaCodigoCartaoCreditoParceladoProximoMes(2,Classificacao!D16)</f>
        <v>#VALUE!</v>
      </c>
      <c r="G82" s="153" t="e">
        <f ca="1">somaCodigoCartaoCredito(2,Classificacao!D16)</f>
        <v>#VALUE!</v>
      </c>
      <c r="H82" s="151" t="e">
        <f ca="1">somaCodigoCartaoCreditoParceladoProximoMes(3,Classificacao!D16)</f>
        <v>#VALUE!</v>
      </c>
      <c r="I82" s="153" t="e">
        <f ca="1">somaCodigoCartaoCredito(3,Classificacao!D16)</f>
        <v>#VALUE!</v>
      </c>
      <c r="J82" s="151" t="e">
        <f ca="1">somaCodigoCartaoCreditoParceladoProximoMes(4,Classificacao!D16)</f>
        <v>#VALUE!</v>
      </c>
      <c r="K82" s="153" t="e">
        <f ca="1">somaCodigoCartaoCredito(4,Classificacao!D16)</f>
        <v>#VALUE!</v>
      </c>
      <c r="L82" s="151" t="e">
        <f ca="1">somaCodigoCartaoCreditoParceladoProximoMes(5,Classificacao!D16)</f>
        <v>#VALUE!</v>
      </c>
      <c r="M82" s="153" t="e">
        <f ca="1">somaCodigoCartaoCredito(5,Classificacao!D16)</f>
        <v>#VALUE!</v>
      </c>
      <c r="N82" s="151" t="e">
        <f ca="1">somaCodigoCartaoCreditoParceladoProximoMes(6,Classificacao!D16)</f>
        <v>#VALUE!</v>
      </c>
      <c r="O82" s="153" t="e">
        <f ca="1">somaCodigoCartaoCredito(6,Classificacao!D16)</f>
        <v>#VALUE!</v>
      </c>
      <c r="P82" s="151" t="e">
        <f ca="1">somaCodigoCartaoCreditoParceladoProximoMes(7,Classificacao!D16)</f>
        <v>#VALUE!</v>
      </c>
      <c r="Q82" s="153" t="e">
        <f ca="1">somaCodigoCartaoCredito(7,Classificacao!D16)</f>
        <v>#VALUE!</v>
      </c>
      <c r="R82" s="151" t="e">
        <f ca="1">somaCodigoCartaoCreditoParceladoProximoMes(8,Classificacao!D16)</f>
        <v>#VALUE!</v>
      </c>
      <c r="S82" s="153" t="e">
        <f ca="1">somaCodigoCartaoCredito(8,Classificacao!D16)</f>
        <v>#VALUE!</v>
      </c>
      <c r="T82" s="151" t="e">
        <f ca="1">somaCodigoCartaoCreditoParceladoProximoMes(9,Classificacao!D16)</f>
        <v>#VALUE!</v>
      </c>
      <c r="U82" s="153" t="e">
        <f ca="1">somaCodigoCartaoCredito(9,Classificacao!D16)</f>
        <v>#VALUE!</v>
      </c>
      <c r="V82" s="151" t="e">
        <f ca="1">somaCodigoCartaoCreditoParceladoProximoMes(10,Classificacao!D16)</f>
        <v>#VALUE!</v>
      </c>
      <c r="W82" s="153" t="e">
        <f ca="1">somaCodigoCartaoCredito(10,Classificacao!D16)</f>
        <v>#VALUE!</v>
      </c>
      <c r="X82" s="151" t="e">
        <f ca="1">somaCodigoCartaoCreditoParceladoProximoMes(11,Classificacao!D16)</f>
        <v>#VALUE!</v>
      </c>
      <c r="Y82" s="153" t="e">
        <f ca="1">somaCodigoCartaoCredito(11,Classificacao!D16)</f>
        <v>#VALUE!</v>
      </c>
      <c r="Z82" s="151" t="e">
        <f ca="1">somaCodigoCartaoCreditoParceladoProximoMes(12,Classificacao!D16)</f>
        <v>#VALUE!</v>
      </c>
      <c r="AA82" s="153" t="e">
        <f ca="1">somaCodigoCartaoCredito(12,Classificacao!D16)</f>
        <v>#VALUE!</v>
      </c>
      <c r="AB82" s="6"/>
      <c r="AC82" s="134"/>
      <c r="AE82" s="104"/>
      <c r="AF82" s="123" t="e">
        <f t="shared" ca="1" si="3"/>
        <v>#VALUE!</v>
      </c>
    </row>
    <row r="83" spans="1:32" ht="13.5" customHeight="1" outlineLevel="1">
      <c r="A83" s="134"/>
      <c r="B83" s="6"/>
      <c r="C83" s="159">
        <f>Classificacao!F17</f>
        <v>0</v>
      </c>
      <c r="D83" s="151">
        <f ca="1">somaCodigoCartaoCreditoParceladoProximoMes(1,Classificacao!D17)</f>
        <v>0</v>
      </c>
      <c r="E83" s="153">
        <f ca="1">somaCodigoCartaoCredito(1,Classificacao!D17)</f>
        <v>0</v>
      </c>
      <c r="F83" s="151" t="e">
        <f ca="1">somaCodigoCartaoCreditoParceladoProximoMes(2,Classificacao!D17)</f>
        <v>#VALUE!</v>
      </c>
      <c r="G83" s="153" t="e">
        <f ca="1">somaCodigoCartaoCredito(2,Classificacao!D17)</f>
        <v>#VALUE!</v>
      </c>
      <c r="H83" s="151" t="e">
        <f ca="1">somaCodigoCartaoCreditoParceladoProximoMes(3,Classificacao!D17)</f>
        <v>#VALUE!</v>
      </c>
      <c r="I83" s="153" t="e">
        <f ca="1">somaCodigoCartaoCredito(3,Classificacao!D17)</f>
        <v>#VALUE!</v>
      </c>
      <c r="J83" s="151" t="e">
        <f ca="1">somaCodigoCartaoCreditoParceladoProximoMes(4,Classificacao!D17)</f>
        <v>#VALUE!</v>
      </c>
      <c r="K83" s="153" t="e">
        <f ca="1">somaCodigoCartaoCredito(4,Classificacao!D17)</f>
        <v>#VALUE!</v>
      </c>
      <c r="L83" s="151" t="e">
        <f ca="1">somaCodigoCartaoCreditoParceladoProximoMes(5,Classificacao!D17)</f>
        <v>#VALUE!</v>
      </c>
      <c r="M83" s="153" t="e">
        <f ca="1">somaCodigoCartaoCredito(5,Classificacao!D17)</f>
        <v>#VALUE!</v>
      </c>
      <c r="N83" s="151" t="e">
        <f ca="1">somaCodigoCartaoCreditoParceladoProximoMes(6,Classificacao!D17)</f>
        <v>#VALUE!</v>
      </c>
      <c r="O83" s="153" t="e">
        <f ca="1">somaCodigoCartaoCredito(6,Classificacao!D17)</f>
        <v>#VALUE!</v>
      </c>
      <c r="P83" s="151" t="e">
        <f ca="1">somaCodigoCartaoCreditoParceladoProximoMes(7,Classificacao!D17)</f>
        <v>#VALUE!</v>
      </c>
      <c r="Q83" s="153" t="e">
        <f ca="1">somaCodigoCartaoCredito(7,Classificacao!D17)</f>
        <v>#VALUE!</v>
      </c>
      <c r="R83" s="151" t="e">
        <f ca="1">somaCodigoCartaoCreditoParceladoProximoMes(8,Classificacao!D17)</f>
        <v>#VALUE!</v>
      </c>
      <c r="S83" s="153" t="e">
        <f ca="1">somaCodigoCartaoCredito(8,Classificacao!D17)</f>
        <v>#VALUE!</v>
      </c>
      <c r="T83" s="151" t="e">
        <f ca="1">somaCodigoCartaoCreditoParceladoProximoMes(9,Classificacao!D17)</f>
        <v>#VALUE!</v>
      </c>
      <c r="U83" s="153" t="e">
        <f ca="1">somaCodigoCartaoCredito(9,Classificacao!D17)</f>
        <v>#VALUE!</v>
      </c>
      <c r="V83" s="151" t="e">
        <f ca="1">somaCodigoCartaoCreditoParceladoProximoMes(10,Classificacao!D17)</f>
        <v>#VALUE!</v>
      </c>
      <c r="W83" s="153" t="e">
        <f ca="1">somaCodigoCartaoCredito(10,Classificacao!D17)</f>
        <v>#VALUE!</v>
      </c>
      <c r="X83" s="151" t="e">
        <f ca="1">somaCodigoCartaoCreditoParceladoProximoMes(11,Classificacao!D17)</f>
        <v>#VALUE!</v>
      </c>
      <c r="Y83" s="153" t="e">
        <f ca="1">somaCodigoCartaoCredito(11,Classificacao!D17)</f>
        <v>#VALUE!</v>
      </c>
      <c r="Z83" s="151" t="e">
        <f ca="1">somaCodigoCartaoCreditoParceladoProximoMes(12,Classificacao!D17)</f>
        <v>#VALUE!</v>
      </c>
      <c r="AA83" s="153" t="e">
        <f ca="1">somaCodigoCartaoCredito(12,Classificacao!D17)</f>
        <v>#VALUE!</v>
      </c>
      <c r="AB83" s="6"/>
      <c r="AC83" s="134"/>
      <c r="AE83" s="104"/>
      <c r="AF83" s="123" t="e">
        <f t="shared" ca="1" si="3"/>
        <v>#VALUE!</v>
      </c>
    </row>
    <row r="84" spans="1:32" ht="12.75" customHeight="1" outlineLevel="1">
      <c r="A84" s="134"/>
      <c r="B84" s="6"/>
      <c r="C84" s="159">
        <f>Classificacao!F18</f>
        <v>0</v>
      </c>
      <c r="D84" s="151">
        <f ca="1">somaCodigoCartaoCreditoParceladoProximoMes(1,Classificacao!D18)</f>
        <v>0</v>
      </c>
      <c r="E84" s="153">
        <f ca="1">somaCodigoCartaoCredito(1,Classificacao!D18)</f>
        <v>0</v>
      </c>
      <c r="F84" s="151" t="e">
        <f ca="1">somaCodigoCartaoCreditoParceladoProximoMes(2,Classificacao!D18)</f>
        <v>#VALUE!</v>
      </c>
      <c r="G84" s="153" t="e">
        <f ca="1">somaCodigoCartaoCredito(2,Classificacao!D18)</f>
        <v>#VALUE!</v>
      </c>
      <c r="H84" s="151" t="e">
        <f ca="1">somaCodigoCartaoCreditoParceladoProximoMes(3,Classificacao!D18)</f>
        <v>#VALUE!</v>
      </c>
      <c r="I84" s="153" t="e">
        <f ca="1">somaCodigoCartaoCredito(3,Classificacao!D18)</f>
        <v>#VALUE!</v>
      </c>
      <c r="J84" s="151" t="e">
        <f ca="1">somaCodigoCartaoCreditoParceladoProximoMes(4,Classificacao!D18)</f>
        <v>#VALUE!</v>
      </c>
      <c r="K84" s="153" t="e">
        <f ca="1">somaCodigoCartaoCredito(4,Classificacao!D18)</f>
        <v>#VALUE!</v>
      </c>
      <c r="L84" s="151" t="e">
        <f ca="1">somaCodigoCartaoCreditoParceladoProximoMes(5,Classificacao!D18)</f>
        <v>#VALUE!</v>
      </c>
      <c r="M84" s="153" t="e">
        <f ca="1">somaCodigoCartaoCredito(5,Classificacao!D18)</f>
        <v>#VALUE!</v>
      </c>
      <c r="N84" s="151" t="e">
        <f ca="1">somaCodigoCartaoCreditoParceladoProximoMes(6,Classificacao!D18)</f>
        <v>#VALUE!</v>
      </c>
      <c r="O84" s="153" t="e">
        <f ca="1">somaCodigoCartaoCredito(6,Classificacao!D18)</f>
        <v>#VALUE!</v>
      </c>
      <c r="P84" s="151" t="e">
        <f ca="1">somaCodigoCartaoCreditoParceladoProximoMes(7,Classificacao!D18)</f>
        <v>#VALUE!</v>
      </c>
      <c r="Q84" s="153" t="e">
        <f ca="1">somaCodigoCartaoCredito(7,Classificacao!D18)</f>
        <v>#VALUE!</v>
      </c>
      <c r="R84" s="151" t="e">
        <f ca="1">somaCodigoCartaoCreditoParceladoProximoMes(8,Classificacao!D18)</f>
        <v>#VALUE!</v>
      </c>
      <c r="S84" s="153" t="e">
        <f ca="1">somaCodigoCartaoCredito(8,Classificacao!D18)</f>
        <v>#VALUE!</v>
      </c>
      <c r="T84" s="151" t="e">
        <f ca="1">somaCodigoCartaoCreditoParceladoProximoMes(9,Classificacao!D18)</f>
        <v>#VALUE!</v>
      </c>
      <c r="U84" s="153" t="e">
        <f ca="1">somaCodigoCartaoCredito(9,Classificacao!D18)</f>
        <v>#VALUE!</v>
      </c>
      <c r="V84" s="151" t="e">
        <f ca="1">somaCodigoCartaoCreditoParceladoProximoMes(10,Classificacao!D18)</f>
        <v>#VALUE!</v>
      </c>
      <c r="W84" s="153" t="e">
        <f ca="1">somaCodigoCartaoCredito(10,Classificacao!D18)</f>
        <v>#VALUE!</v>
      </c>
      <c r="X84" s="151" t="e">
        <f ca="1">somaCodigoCartaoCreditoParceladoProximoMes(11,Classificacao!D18)</f>
        <v>#VALUE!</v>
      </c>
      <c r="Y84" s="153" t="e">
        <f ca="1">somaCodigoCartaoCredito(11,Classificacao!D18)</f>
        <v>#VALUE!</v>
      </c>
      <c r="Z84" s="151" t="e">
        <f ca="1">somaCodigoCartaoCreditoParceladoProximoMes(12,Classificacao!D18)</f>
        <v>#VALUE!</v>
      </c>
      <c r="AA84" s="153" t="e">
        <f ca="1">somaCodigoCartaoCredito(12,Classificacao!D18)</f>
        <v>#VALUE!</v>
      </c>
      <c r="AB84" s="6"/>
      <c r="AC84" s="134"/>
      <c r="AE84" s="105"/>
      <c r="AF84" s="124" t="e">
        <f t="shared" ca="1" si="3"/>
        <v>#VALUE!</v>
      </c>
    </row>
    <row r="85" spans="1:32" ht="12.75" customHeight="1" outlineLevel="1">
      <c r="A85" s="134"/>
      <c r="B85" s="6"/>
      <c r="C85" s="159">
        <f>Classificacao!F19</f>
        <v>0</v>
      </c>
      <c r="D85" s="151">
        <f ca="1">somaCodigoCartaoCreditoParceladoProximoMes(1,Classificacao!D19)</f>
        <v>0</v>
      </c>
      <c r="E85" s="153">
        <f ca="1">somaCodigoCartaoCredito(1,Classificacao!D19)</f>
        <v>0</v>
      </c>
      <c r="F85" s="151" t="e">
        <f ca="1">somaCodigoCartaoCreditoParceladoProximoMes(2,Classificacao!D19)</f>
        <v>#VALUE!</v>
      </c>
      <c r="G85" s="153" t="e">
        <f ca="1">somaCodigoCartaoCredito(2,Classificacao!D19)</f>
        <v>#VALUE!</v>
      </c>
      <c r="H85" s="151" t="e">
        <f ca="1">somaCodigoCartaoCreditoParceladoProximoMes(3,Classificacao!D19)</f>
        <v>#VALUE!</v>
      </c>
      <c r="I85" s="153" t="e">
        <f ca="1">somaCodigoCartaoCredito(3,Classificacao!D19)</f>
        <v>#VALUE!</v>
      </c>
      <c r="J85" s="151" t="e">
        <f ca="1">somaCodigoCartaoCreditoParceladoProximoMes(4,Classificacao!D19)</f>
        <v>#VALUE!</v>
      </c>
      <c r="K85" s="153" t="e">
        <f ca="1">somaCodigoCartaoCredito(4,Classificacao!D19)</f>
        <v>#VALUE!</v>
      </c>
      <c r="L85" s="151" t="e">
        <f ca="1">somaCodigoCartaoCreditoParceladoProximoMes(5,Classificacao!D19)</f>
        <v>#VALUE!</v>
      </c>
      <c r="M85" s="153" t="e">
        <f ca="1">somaCodigoCartaoCredito(5,Classificacao!D19)</f>
        <v>#VALUE!</v>
      </c>
      <c r="N85" s="151" t="e">
        <f ca="1">somaCodigoCartaoCreditoParceladoProximoMes(6,Classificacao!D19)</f>
        <v>#VALUE!</v>
      </c>
      <c r="O85" s="153" t="e">
        <f ca="1">somaCodigoCartaoCredito(6,Classificacao!D19)</f>
        <v>#VALUE!</v>
      </c>
      <c r="P85" s="151" t="e">
        <f ca="1">somaCodigoCartaoCreditoParceladoProximoMes(7,Classificacao!D19)</f>
        <v>#VALUE!</v>
      </c>
      <c r="Q85" s="153" t="e">
        <f ca="1">somaCodigoCartaoCredito(7,Classificacao!D19)</f>
        <v>#VALUE!</v>
      </c>
      <c r="R85" s="151" t="e">
        <f ca="1">somaCodigoCartaoCreditoParceladoProximoMes(8,Classificacao!D19)</f>
        <v>#VALUE!</v>
      </c>
      <c r="S85" s="153" t="e">
        <f ca="1">somaCodigoCartaoCredito(8,Classificacao!D19)</f>
        <v>#VALUE!</v>
      </c>
      <c r="T85" s="151" t="e">
        <f ca="1">somaCodigoCartaoCreditoParceladoProximoMes(9,Classificacao!D19)</f>
        <v>#VALUE!</v>
      </c>
      <c r="U85" s="153" t="e">
        <f ca="1">somaCodigoCartaoCredito(9,Classificacao!D19)</f>
        <v>#VALUE!</v>
      </c>
      <c r="V85" s="151" t="e">
        <f ca="1">somaCodigoCartaoCreditoParceladoProximoMes(10,Classificacao!D19)</f>
        <v>#VALUE!</v>
      </c>
      <c r="W85" s="153" t="e">
        <f ca="1">somaCodigoCartaoCredito(10,Classificacao!D19)</f>
        <v>#VALUE!</v>
      </c>
      <c r="X85" s="151" t="e">
        <f ca="1">somaCodigoCartaoCreditoParceladoProximoMes(11,Classificacao!D19)</f>
        <v>#VALUE!</v>
      </c>
      <c r="Y85" s="153" t="e">
        <f ca="1">somaCodigoCartaoCredito(11,Classificacao!D19)</f>
        <v>#VALUE!</v>
      </c>
      <c r="Z85" s="151" t="e">
        <f ca="1">somaCodigoCartaoCreditoParceladoProximoMes(12,Classificacao!D19)</f>
        <v>#VALUE!</v>
      </c>
      <c r="AA85" s="153" t="e">
        <f ca="1">somaCodigoCartaoCredito(12,Classificacao!D19)</f>
        <v>#VALUE!</v>
      </c>
      <c r="AB85" s="6"/>
      <c r="AC85" s="134"/>
      <c r="AE85" s="105"/>
      <c r="AF85" s="124" t="e">
        <f t="shared" ca="1" si="3"/>
        <v>#VALUE!</v>
      </c>
    </row>
    <row r="86" spans="1:32" ht="12.75" customHeight="1" outlineLevel="1">
      <c r="A86" s="134"/>
      <c r="B86" s="6"/>
      <c r="C86" s="159">
        <f>Classificacao!F20</f>
        <v>0</v>
      </c>
      <c r="D86" s="151">
        <f ca="1">somaCodigoCartaoCreditoParceladoProximoMes(1,Classificacao!D20)</f>
        <v>0</v>
      </c>
      <c r="E86" s="153">
        <f ca="1">somaCodigoCartaoCredito(1,Classificacao!D20)</f>
        <v>0</v>
      </c>
      <c r="F86" s="151" t="e">
        <f ca="1">somaCodigoCartaoCreditoParceladoProximoMes(2,Classificacao!D20)</f>
        <v>#VALUE!</v>
      </c>
      <c r="G86" s="153" t="e">
        <f ca="1">somaCodigoCartaoCredito(2,Classificacao!D20)</f>
        <v>#VALUE!</v>
      </c>
      <c r="H86" s="151" t="e">
        <f ca="1">somaCodigoCartaoCreditoParceladoProximoMes(3,Classificacao!D20)</f>
        <v>#VALUE!</v>
      </c>
      <c r="I86" s="153" t="e">
        <f ca="1">somaCodigoCartaoCredito(3,Classificacao!D20)</f>
        <v>#VALUE!</v>
      </c>
      <c r="J86" s="151" t="e">
        <f ca="1">somaCodigoCartaoCreditoParceladoProximoMes(4,Classificacao!D20)</f>
        <v>#VALUE!</v>
      </c>
      <c r="K86" s="153" t="e">
        <f ca="1">somaCodigoCartaoCredito(4,Classificacao!D20)</f>
        <v>#VALUE!</v>
      </c>
      <c r="L86" s="151" t="e">
        <f ca="1">somaCodigoCartaoCreditoParceladoProximoMes(5,Classificacao!D20)</f>
        <v>#VALUE!</v>
      </c>
      <c r="M86" s="153" t="e">
        <f ca="1">somaCodigoCartaoCredito(5,Classificacao!D20)</f>
        <v>#VALUE!</v>
      </c>
      <c r="N86" s="151" t="e">
        <f ca="1">somaCodigoCartaoCreditoParceladoProximoMes(6,Classificacao!D20)</f>
        <v>#VALUE!</v>
      </c>
      <c r="O86" s="153" t="e">
        <f ca="1">somaCodigoCartaoCredito(6,Classificacao!D20)</f>
        <v>#VALUE!</v>
      </c>
      <c r="P86" s="151" t="e">
        <f ca="1">somaCodigoCartaoCreditoParceladoProximoMes(7,Classificacao!D20)</f>
        <v>#VALUE!</v>
      </c>
      <c r="Q86" s="153" t="e">
        <f ca="1">somaCodigoCartaoCredito(7,Classificacao!D20)</f>
        <v>#VALUE!</v>
      </c>
      <c r="R86" s="151" t="e">
        <f ca="1">somaCodigoCartaoCreditoParceladoProximoMes(8,Classificacao!D20)</f>
        <v>#VALUE!</v>
      </c>
      <c r="S86" s="153" t="e">
        <f ca="1">somaCodigoCartaoCredito(8,Classificacao!D20)</f>
        <v>#VALUE!</v>
      </c>
      <c r="T86" s="151" t="e">
        <f ca="1">somaCodigoCartaoCreditoParceladoProximoMes(9,Classificacao!D20)</f>
        <v>#VALUE!</v>
      </c>
      <c r="U86" s="153" t="e">
        <f ca="1">somaCodigoCartaoCredito(9,Classificacao!D20)</f>
        <v>#VALUE!</v>
      </c>
      <c r="V86" s="151" t="e">
        <f ca="1">somaCodigoCartaoCreditoParceladoProximoMes(10,Classificacao!D20)</f>
        <v>#VALUE!</v>
      </c>
      <c r="W86" s="153" t="e">
        <f ca="1">somaCodigoCartaoCredito(10,Classificacao!D20)</f>
        <v>#VALUE!</v>
      </c>
      <c r="X86" s="151" t="e">
        <f ca="1">somaCodigoCartaoCreditoParceladoProximoMes(11,Classificacao!D20)</f>
        <v>#VALUE!</v>
      </c>
      <c r="Y86" s="153" t="e">
        <f ca="1">somaCodigoCartaoCredito(11,Classificacao!D20)</f>
        <v>#VALUE!</v>
      </c>
      <c r="Z86" s="151" t="e">
        <f ca="1">somaCodigoCartaoCreditoParceladoProximoMes(12,Classificacao!D20)</f>
        <v>#VALUE!</v>
      </c>
      <c r="AA86" s="153" t="e">
        <f ca="1">somaCodigoCartaoCredito(12,Classificacao!D20)</f>
        <v>#VALUE!</v>
      </c>
      <c r="AB86" s="6"/>
      <c r="AC86" s="134"/>
      <c r="AE86" s="105"/>
      <c r="AF86" s="124" t="e">
        <f t="shared" ca="1" si="3"/>
        <v>#VALUE!</v>
      </c>
    </row>
    <row r="87" spans="1:32" ht="12.75" customHeight="1" outlineLevel="1">
      <c r="A87" s="134"/>
      <c r="B87" s="6"/>
      <c r="C87" s="159">
        <f>Classificacao!F21</f>
        <v>0</v>
      </c>
      <c r="D87" s="151">
        <f ca="1">somaCodigoCartaoCreditoParceladoProximoMes(1,Classificacao!D21)</f>
        <v>0</v>
      </c>
      <c r="E87" s="153">
        <f ca="1">somaCodigoCartaoCredito(1,Classificacao!D21)</f>
        <v>0</v>
      </c>
      <c r="F87" s="151" t="e">
        <f ca="1">somaCodigoCartaoCreditoParceladoProximoMes(2,Classificacao!D21)</f>
        <v>#VALUE!</v>
      </c>
      <c r="G87" s="153" t="e">
        <f ca="1">somaCodigoCartaoCredito(2,Classificacao!D21)</f>
        <v>#VALUE!</v>
      </c>
      <c r="H87" s="151" t="e">
        <f ca="1">somaCodigoCartaoCreditoParceladoProximoMes(3,Classificacao!D21)</f>
        <v>#VALUE!</v>
      </c>
      <c r="I87" s="153" t="e">
        <f ca="1">somaCodigoCartaoCredito(3,Classificacao!D21)</f>
        <v>#VALUE!</v>
      </c>
      <c r="J87" s="151" t="e">
        <f ca="1">somaCodigoCartaoCreditoParceladoProximoMes(4,Classificacao!D21)</f>
        <v>#VALUE!</v>
      </c>
      <c r="K87" s="153" t="e">
        <f ca="1">somaCodigoCartaoCredito(4,Classificacao!D21)</f>
        <v>#VALUE!</v>
      </c>
      <c r="L87" s="151" t="e">
        <f ca="1">somaCodigoCartaoCreditoParceladoProximoMes(5,Classificacao!D21)</f>
        <v>#VALUE!</v>
      </c>
      <c r="M87" s="153" t="e">
        <f ca="1">somaCodigoCartaoCredito(5,Classificacao!D21)</f>
        <v>#VALUE!</v>
      </c>
      <c r="N87" s="151" t="e">
        <f ca="1">somaCodigoCartaoCreditoParceladoProximoMes(6,Classificacao!D21)</f>
        <v>#VALUE!</v>
      </c>
      <c r="O87" s="153" t="e">
        <f ca="1">somaCodigoCartaoCredito(6,Classificacao!D21)</f>
        <v>#VALUE!</v>
      </c>
      <c r="P87" s="151" t="e">
        <f ca="1">somaCodigoCartaoCreditoParceladoProximoMes(7,Classificacao!D21)</f>
        <v>#VALUE!</v>
      </c>
      <c r="Q87" s="153" t="e">
        <f ca="1">somaCodigoCartaoCredito(7,Classificacao!D21)</f>
        <v>#VALUE!</v>
      </c>
      <c r="R87" s="151" t="e">
        <f ca="1">somaCodigoCartaoCreditoParceladoProximoMes(8,Classificacao!D21)</f>
        <v>#VALUE!</v>
      </c>
      <c r="S87" s="153" t="e">
        <f ca="1">somaCodigoCartaoCredito(8,Classificacao!D21)</f>
        <v>#VALUE!</v>
      </c>
      <c r="T87" s="151" t="e">
        <f ca="1">somaCodigoCartaoCreditoParceladoProximoMes(9,Classificacao!D21)</f>
        <v>#VALUE!</v>
      </c>
      <c r="U87" s="153" t="e">
        <f ca="1">somaCodigoCartaoCredito(9,Classificacao!D21)</f>
        <v>#VALUE!</v>
      </c>
      <c r="V87" s="151" t="e">
        <f ca="1">somaCodigoCartaoCreditoParceladoProximoMes(10,Classificacao!D21)</f>
        <v>#VALUE!</v>
      </c>
      <c r="W87" s="153" t="e">
        <f ca="1">somaCodigoCartaoCredito(10,Classificacao!D21)</f>
        <v>#VALUE!</v>
      </c>
      <c r="X87" s="151" t="e">
        <f ca="1">somaCodigoCartaoCreditoParceladoProximoMes(11,Classificacao!D21)</f>
        <v>#VALUE!</v>
      </c>
      <c r="Y87" s="153" t="e">
        <f ca="1">somaCodigoCartaoCredito(11,Classificacao!D21)</f>
        <v>#VALUE!</v>
      </c>
      <c r="Z87" s="151" t="e">
        <f ca="1">somaCodigoCartaoCreditoParceladoProximoMes(12,Classificacao!D21)</f>
        <v>#VALUE!</v>
      </c>
      <c r="AA87" s="153" t="e">
        <f ca="1">somaCodigoCartaoCredito(12,Classificacao!D21)</f>
        <v>#VALUE!</v>
      </c>
      <c r="AB87" s="6"/>
      <c r="AC87" s="134"/>
      <c r="AE87" s="105"/>
      <c r="AF87" s="124" t="e">
        <f t="shared" ca="1" si="3"/>
        <v>#VALUE!</v>
      </c>
    </row>
    <row r="88" spans="1:32" ht="12.75" customHeight="1" outlineLevel="1">
      <c r="A88" s="134"/>
      <c r="B88" s="6"/>
      <c r="C88" s="159">
        <f>Classificacao!F22</f>
        <v>0</v>
      </c>
      <c r="D88" s="151">
        <f ca="1">somaCodigoCartaoCreditoParceladoProximoMes(1,Classificacao!D22)</f>
        <v>0</v>
      </c>
      <c r="E88" s="153">
        <f ca="1">somaCodigoCartaoCredito(1,Classificacao!D22)</f>
        <v>0</v>
      </c>
      <c r="F88" s="151" t="e">
        <f ca="1">somaCodigoCartaoCreditoParceladoProximoMes(2,Classificacao!D22)</f>
        <v>#VALUE!</v>
      </c>
      <c r="G88" s="153" t="e">
        <f ca="1">somaCodigoCartaoCredito(2,Classificacao!D22)</f>
        <v>#VALUE!</v>
      </c>
      <c r="H88" s="151" t="e">
        <f ca="1">somaCodigoCartaoCreditoParceladoProximoMes(3,Classificacao!D22)</f>
        <v>#VALUE!</v>
      </c>
      <c r="I88" s="153" t="e">
        <f ca="1">somaCodigoCartaoCredito(3,Classificacao!D22)</f>
        <v>#VALUE!</v>
      </c>
      <c r="J88" s="151" t="e">
        <f ca="1">somaCodigoCartaoCreditoParceladoProximoMes(4,Classificacao!D22)</f>
        <v>#VALUE!</v>
      </c>
      <c r="K88" s="153" t="e">
        <f ca="1">somaCodigoCartaoCredito(4,Classificacao!D22)</f>
        <v>#VALUE!</v>
      </c>
      <c r="L88" s="151" t="e">
        <f ca="1">somaCodigoCartaoCreditoParceladoProximoMes(5,Classificacao!D22)</f>
        <v>#VALUE!</v>
      </c>
      <c r="M88" s="153" t="e">
        <f ca="1">somaCodigoCartaoCredito(5,Classificacao!D22)</f>
        <v>#VALUE!</v>
      </c>
      <c r="N88" s="151" t="e">
        <f ca="1">somaCodigoCartaoCreditoParceladoProximoMes(6,Classificacao!D22)</f>
        <v>#VALUE!</v>
      </c>
      <c r="O88" s="153" t="e">
        <f ca="1">somaCodigoCartaoCredito(6,Classificacao!D22)</f>
        <v>#VALUE!</v>
      </c>
      <c r="P88" s="151" t="e">
        <f ca="1">somaCodigoCartaoCreditoParceladoProximoMes(7,Classificacao!D22)</f>
        <v>#VALUE!</v>
      </c>
      <c r="Q88" s="153" t="e">
        <f ca="1">somaCodigoCartaoCredito(7,Classificacao!D22)</f>
        <v>#VALUE!</v>
      </c>
      <c r="R88" s="151" t="e">
        <f ca="1">somaCodigoCartaoCreditoParceladoProximoMes(8,Classificacao!D22)</f>
        <v>#VALUE!</v>
      </c>
      <c r="S88" s="153" t="e">
        <f ca="1">somaCodigoCartaoCredito(8,Classificacao!D22)</f>
        <v>#VALUE!</v>
      </c>
      <c r="T88" s="151" t="e">
        <f ca="1">somaCodigoCartaoCreditoParceladoProximoMes(9,Classificacao!D22)</f>
        <v>#VALUE!</v>
      </c>
      <c r="U88" s="153" t="e">
        <f ca="1">somaCodigoCartaoCredito(9,Classificacao!D22)</f>
        <v>#VALUE!</v>
      </c>
      <c r="V88" s="151" t="e">
        <f ca="1">somaCodigoCartaoCreditoParceladoProximoMes(10,Classificacao!D22)</f>
        <v>#VALUE!</v>
      </c>
      <c r="W88" s="153" t="e">
        <f ca="1">somaCodigoCartaoCredito(10,Classificacao!D22)</f>
        <v>#VALUE!</v>
      </c>
      <c r="X88" s="151" t="e">
        <f ca="1">somaCodigoCartaoCreditoParceladoProximoMes(11,Classificacao!D22)</f>
        <v>#VALUE!</v>
      </c>
      <c r="Y88" s="153" t="e">
        <f ca="1">somaCodigoCartaoCredito(11,Classificacao!D22)</f>
        <v>#VALUE!</v>
      </c>
      <c r="Z88" s="151" t="e">
        <f ca="1">somaCodigoCartaoCreditoParceladoProximoMes(12,Classificacao!D22)</f>
        <v>#VALUE!</v>
      </c>
      <c r="AA88" s="153" t="e">
        <f ca="1">somaCodigoCartaoCredito(12,Classificacao!D22)</f>
        <v>#VALUE!</v>
      </c>
      <c r="AB88" s="6"/>
      <c r="AC88" s="134"/>
      <c r="AE88" s="105"/>
      <c r="AF88" s="124" t="e">
        <f t="shared" ca="1" si="3"/>
        <v>#VALUE!</v>
      </c>
    </row>
    <row r="89" spans="1:32" ht="12.75" customHeight="1" outlineLevel="1">
      <c r="A89" s="134"/>
      <c r="B89" s="6"/>
      <c r="C89" s="159">
        <f>Classificacao!F23</f>
        <v>0</v>
      </c>
      <c r="D89" s="151">
        <f ca="1">somaCodigoCartaoCreditoParceladoProximoMes(1,Classificacao!D23)</f>
        <v>0</v>
      </c>
      <c r="E89" s="153">
        <f ca="1">somaCodigoCartaoCredito(1,Classificacao!D23)</f>
        <v>0</v>
      </c>
      <c r="F89" s="151" t="e">
        <f ca="1">somaCodigoCartaoCreditoParceladoProximoMes(2,Classificacao!D23)</f>
        <v>#VALUE!</v>
      </c>
      <c r="G89" s="153" t="e">
        <f ca="1">somaCodigoCartaoCredito(2,Classificacao!D23)</f>
        <v>#VALUE!</v>
      </c>
      <c r="H89" s="151" t="e">
        <f ca="1">somaCodigoCartaoCreditoParceladoProximoMes(3,Classificacao!D23)</f>
        <v>#VALUE!</v>
      </c>
      <c r="I89" s="153" t="e">
        <f ca="1">somaCodigoCartaoCredito(3,Classificacao!D23)</f>
        <v>#VALUE!</v>
      </c>
      <c r="J89" s="151" t="e">
        <f ca="1">somaCodigoCartaoCreditoParceladoProximoMes(4,Classificacao!D23)</f>
        <v>#VALUE!</v>
      </c>
      <c r="K89" s="153" t="e">
        <f ca="1">somaCodigoCartaoCredito(4,Classificacao!D23)</f>
        <v>#VALUE!</v>
      </c>
      <c r="L89" s="151" t="e">
        <f ca="1">somaCodigoCartaoCreditoParceladoProximoMes(5,Classificacao!D23)</f>
        <v>#VALUE!</v>
      </c>
      <c r="M89" s="153" t="e">
        <f ca="1">somaCodigoCartaoCredito(5,Classificacao!D23)</f>
        <v>#VALUE!</v>
      </c>
      <c r="N89" s="151" t="e">
        <f ca="1">somaCodigoCartaoCreditoParceladoProximoMes(6,Classificacao!D23)</f>
        <v>#VALUE!</v>
      </c>
      <c r="O89" s="153" t="e">
        <f ca="1">somaCodigoCartaoCredito(6,Classificacao!D23)</f>
        <v>#VALUE!</v>
      </c>
      <c r="P89" s="151" t="e">
        <f ca="1">somaCodigoCartaoCreditoParceladoProximoMes(7,Classificacao!D23)</f>
        <v>#VALUE!</v>
      </c>
      <c r="Q89" s="153" t="e">
        <f ca="1">somaCodigoCartaoCredito(7,Classificacao!D23)</f>
        <v>#VALUE!</v>
      </c>
      <c r="R89" s="151" t="e">
        <f ca="1">somaCodigoCartaoCreditoParceladoProximoMes(8,Classificacao!D23)</f>
        <v>#VALUE!</v>
      </c>
      <c r="S89" s="153" t="e">
        <f ca="1">somaCodigoCartaoCredito(8,Classificacao!D23)</f>
        <v>#VALUE!</v>
      </c>
      <c r="T89" s="151" t="e">
        <f ca="1">somaCodigoCartaoCreditoParceladoProximoMes(9,Classificacao!D23)</f>
        <v>#VALUE!</v>
      </c>
      <c r="U89" s="153" t="e">
        <f ca="1">somaCodigoCartaoCredito(9,Classificacao!D23)</f>
        <v>#VALUE!</v>
      </c>
      <c r="V89" s="151" t="e">
        <f ca="1">somaCodigoCartaoCreditoParceladoProximoMes(10,Classificacao!D23)</f>
        <v>#VALUE!</v>
      </c>
      <c r="W89" s="153" t="e">
        <f ca="1">somaCodigoCartaoCredito(10,Classificacao!D23)</f>
        <v>#VALUE!</v>
      </c>
      <c r="X89" s="151" t="e">
        <f ca="1">somaCodigoCartaoCreditoParceladoProximoMes(11,Classificacao!D23)</f>
        <v>#VALUE!</v>
      </c>
      <c r="Y89" s="153" t="e">
        <f ca="1">somaCodigoCartaoCredito(11,Classificacao!D23)</f>
        <v>#VALUE!</v>
      </c>
      <c r="Z89" s="151" t="e">
        <f ca="1">somaCodigoCartaoCreditoParceladoProximoMes(12,Classificacao!D23)</f>
        <v>#VALUE!</v>
      </c>
      <c r="AA89" s="153" t="e">
        <f ca="1">somaCodigoCartaoCredito(12,Classificacao!D23)</f>
        <v>#VALUE!</v>
      </c>
      <c r="AB89" s="6"/>
      <c r="AC89" s="134"/>
      <c r="AE89" s="105"/>
      <c r="AF89" s="124" t="e">
        <f t="shared" ca="1" si="3"/>
        <v>#VALUE!</v>
      </c>
    </row>
    <row r="90" spans="1:32" ht="12.75" customHeight="1" outlineLevel="1">
      <c r="A90" s="134"/>
      <c r="B90" s="6"/>
      <c r="C90" s="159">
        <f>Classificacao!F24</f>
        <v>0</v>
      </c>
      <c r="D90" s="151">
        <f ca="1">somaCodigoCartaoCreditoParceladoProximoMes(1,Classificacao!D24)</f>
        <v>0</v>
      </c>
      <c r="E90" s="153">
        <f ca="1">somaCodigoCartaoCredito(1,Classificacao!D24)</f>
        <v>0</v>
      </c>
      <c r="F90" s="151" t="e">
        <f ca="1">somaCodigoCartaoCreditoParceladoProximoMes(2,Classificacao!D24)</f>
        <v>#VALUE!</v>
      </c>
      <c r="G90" s="153" t="e">
        <f ca="1">somaCodigoCartaoCredito(2,Classificacao!D24)</f>
        <v>#VALUE!</v>
      </c>
      <c r="H90" s="151" t="e">
        <f ca="1">somaCodigoCartaoCreditoParceladoProximoMes(3,Classificacao!D24)</f>
        <v>#VALUE!</v>
      </c>
      <c r="I90" s="153" t="e">
        <f ca="1">somaCodigoCartaoCredito(3,Classificacao!D24)</f>
        <v>#VALUE!</v>
      </c>
      <c r="J90" s="151" t="e">
        <f ca="1">somaCodigoCartaoCreditoParceladoProximoMes(4,Classificacao!D24)</f>
        <v>#VALUE!</v>
      </c>
      <c r="K90" s="153" t="e">
        <f ca="1">somaCodigoCartaoCredito(4,Classificacao!D24)</f>
        <v>#VALUE!</v>
      </c>
      <c r="L90" s="151" t="e">
        <f ca="1">somaCodigoCartaoCreditoParceladoProximoMes(5,Classificacao!D24)</f>
        <v>#VALUE!</v>
      </c>
      <c r="M90" s="153" t="e">
        <f ca="1">somaCodigoCartaoCredito(5,Classificacao!D24)</f>
        <v>#VALUE!</v>
      </c>
      <c r="N90" s="151" t="e">
        <f ca="1">somaCodigoCartaoCreditoParceladoProximoMes(6,Classificacao!D24)</f>
        <v>#VALUE!</v>
      </c>
      <c r="O90" s="153" t="e">
        <f ca="1">somaCodigoCartaoCredito(6,Classificacao!D24)</f>
        <v>#VALUE!</v>
      </c>
      <c r="P90" s="151" t="e">
        <f ca="1">somaCodigoCartaoCreditoParceladoProximoMes(7,Classificacao!D24)</f>
        <v>#VALUE!</v>
      </c>
      <c r="Q90" s="153" t="e">
        <f ca="1">somaCodigoCartaoCredito(7,Classificacao!D24)</f>
        <v>#VALUE!</v>
      </c>
      <c r="R90" s="151" t="e">
        <f ca="1">somaCodigoCartaoCreditoParceladoProximoMes(8,Classificacao!D24)</f>
        <v>#VALUE!</v>
      </c>
      <c r="S90" s="153" t="e">
        <f ca="1">somaCodigoCartaoCredito(8,Classificacao!D24)</f>
        <v>#VALUE!</v>
      </c>
      <c r="T90" s="151" t="e">
        <f ca="1">somaCodigoCartaoCreditoParceladoProximoMes(9,Classificacao!D24)</f>
        <v>#VALUE!</v>
      </c>
      <c r="U90" s="153" t="e">
        <f ca="1">somaCodigoCartaoCredito(9,Classificacao!D24)</f>
        <v>#VALUE!</v>
      </c>
      <c r="V90" s="151" t="e">
        <f ca="1">somaCodigoCartaoCreditoParceladoProximoMes(10,Classificacao!D24)</f>
        <v>#VALUE!</v>
      </c>
      <c r="W90" s="153" t="e">
        <f ca="1">somaCodigoCartaoCredito(10,Classificacao!D24)</f>
        <v>#VALUE!</v>
      </c>
      <c r="X90" s="151" t="e">
        <f ca="1">somaCodigoCartaoCreditoParceladoProximoMes(11,Classificacao!D24)</f>
        <v>#VALUE!</v>
      </c>
      <c r="Y90" s="153" t="e">
        <f ca="1">somaCodigoCartaoCredito(11,Classificacao!D24)</f>
        <v>#VALUE!</v>
      </c>
      <c r="Z90" s="151" t="e">
        <f ca="1">somaCodigoCartaoCreditoParceladoProximoMes(12,Classificacao!D24)</f>
        <v>#VALUE!</v>
      </c>
      <c r="AA90" s="153" t="e">
        <f ca="1">somaCodigoCartaoCredito(12,Classificacao!D24)</f>
        <v>#VALUE!</v>
      </c>
      <c r="AB90" s="6"/>
      <c r="AC90" s="134"/>
      <c r="AE90" s="105"/>
      <c r="AF90" s="124" t="e">
        <f t="shared" ca="1" si="3"/>
        <v>#VALUE!</v>
      </c>
    </row>
    <row r="91" spans="1:32" ht="12.75" customHeight="1" outlineLevel="1">
      <c r="A91" s="134"/>
      <c r="B91" s="6"/>
      <c r="C91" s="159">
        <f>Classificacao!F25</f>
        <v>0</v>
      </c>
      <c r="D91" s="151">
        <f ca="1">somaCodigoCartaoCreditoParceladoProximoMes(1,Classificacao!D25)</f>
        <v>0</v>
      </c>
      <c r="E91" s="153">
        <f ca="1">somaCodigoCartaoCredito(1,Classificacao!D25)</f>
        <v>0</v>
      </c>
      <c r="F91" s="151" t="e">
        <f ca="1">somaCodigoCartaoCreditoParceladoProximoMes(2,Classificacao!D25)</f>
        <v>#VALUE!</v>
      </c>
      <c r="G91" s="153" t="e">
        <f ca="1">somaCodigoCartaoCredito(2,Classificacao!D25)</f>
        <v>#VALUE!</v>
      </c>
      <c r="H91" s="151" t="e">
        <f ca="1">somaCodigoCartaoCreditoParceladoProximoMes(3,Classificacao!D25)</f>
        <v>#VALUE!</v>
      </c>
      <c r="I91" s="153" t="e">
        <f ca="1">somaCodigoCartaoCredito(3,Classificacao!D25)</f>
        <v>#VALUE!</v>
      </c>
      <c r="J91" s="151" t="e">
        <f ca="1">somaCodigoCartaoCreditoParceladoProximoMes(4,Classificacao!D25)</f>
        <v>#VALUE!</v>
      </c>
      <c r="K91" s="153" t="e">
        <f ca="1">somaCodigoCartaoCredito(4,Classificacao!D25)</f>
        <v>#VALUE!</v>
      </c>
      <c r="L91" s="151" t="e">
        <f ca="1">somaCodigoCartaoCreditoParceladoProximoMes(5,Classificacao!D25)</f>
        <v>#VALUE!</v>
      </c>
      <c r="M91" s="153" t="e">
        <f ca="1">somaCodigoCartaoCredito(5,Classificacao!D25)</f>
        <v>#VALUE!</v>
      </c>
      <c r="N91" s="151" t="e">
        <f ca="1">somaCodigoCartaoCreditoParceladoProximoMes(6,Classificacao!D25)</f>
        <v>#VALUE!</v>
      </c>
      <c r="O91" s="153" t="e">
        <f ca="1">somaCodigoCartaoCredito(6,Classificacao!D25)</f>
        <v>#VALUE!</v>
      </c>
      <c r="P91" s="151" t="e">
        <f ca="1">somaCodigoCartaoCreditoParceladoProximoMes(7,Classificacao!D25)</f>
        <v>#VALUE!</v>
      </c>
      <c r="Q91" s="153" t="e">
        <f ca="1">somaCodigoCartaoCredito(7,Classificacao!D25)</f>
        <v>#VALUE!</v>
      </c>
      <c r="R91" s="151" t="e">
        <f ca="1">somaCodigoCartaoCreditoParceladoProximoMes(8,Classificacao!D25)</f>
        <v>#VALUE!</v>
      </c>
      <c r="S91" s="153" t="e">
        <f ca="1">somaCodigoCartaoCredito(8,Classificacao!D25)</f>
        <v>#VALUE!</v>
      </c>
      <c r="T91" s="151" t="e">
        <f ca="1">somaCodigoCartaoCreditoParceladoProximoMes(9,Classificacao!D25)</f>
        <v>#VALUE!</v>
      </c>
      <c r="U91" s="153" t="e">
        <f ca="1">somaCodigoCartaoCredito(9,Classificacao!D25)</f>
        <v>#VALUE!</v>
      </c>
      <c r="V91" s="151" t="e">
        <f ca="1">somaCodigoCartaoCreditoParceladoProximoMes(10,Classificacao!D25)</f>
        <v>#VALUE!</v>
      </c>
      <c r="W91" s="153" t="e">
        <f ca="1">somaCodigoCartaoCredito(10,Classificacao!D25)</f>
        <v>#VALUE!</v>
      </c>
      <c r="X91" s="151" t="e">
        <f ca="1">somaCodigoCartaoCreditoParceladoProximoMes(11,Classificacao!D25)</f>
        <v>#VALUE!</v>
      </c>
      <c r="Y91" s="153" t="e">
        <f ca="1">somaCodigoCartaoCredito(11,Classificacao!D25)</f>
        <v>#VALUE!</v>
      </c>
      <c r="Z91" s="151" t="e">
        <f ca="1">somaCodigoCartaoCreditoParceladoProximoMes(12,Classificacao!D25)</f>
        <v>#VALUE!</v>
      </c>
      <c r="AA91" s="153" t="e">
        <f ca="1">somaCodigoCartaoCredito(12,Classificacao!D25)</f>
        <v>#VALUE!</v>
      </c>
      <c r="AB91" s="6"/>
      <c r="AC91" s="134"/>
      <c r="AE91" s="105"/>
      <c r="AF91" s="124" t="e">
        <f t="shared" ca="1" si="3"/>
        <v>#VALUE!</v>
      </c>
    </row>
    <row r="92" spans="1:32" ht="12.75" customHeight="1" outlineLevel="1">
      <c r="A92" s="134"/>
      <c r="B92" s="6"/>
      <c r="C92" s="159">
        <f>Classificacao!F26</f>
        <v>0</v>
      </c>
      <c r="D92" s="151">
        <f ca="1">somaCodigoCartaoCreditoParceladoProximoMes(1,Classificacao!D26)</f>
        <v>0</v>
      </c>
      <c r="E92" s="153">
        <f ca="1">somaCodigoCartaoCredito(1,Classificacao!D26)</f>
        <v>0</v>
      </c>
      <c r="F92" s="151" t="e">
        <f ca="1">somaCodigoCartaoCreditoParceladoProximoMes(2,Classificacao!D26)</f>
        <v>#VALUE!</v>
      </c>
      <c r="G92" s="153" t="e">
        <f ca="1">somaCodigoCartaoCredito(2,Classificacao!D26)</f>
        <v>#VALUE!</v>
      </c>
      <c r="H92" s="151" t="e">
        <f ca="1">somaCodigoCartaoCreditoParceladoProximoMes(3,Classificacao!D26)</f>
        <v>#VALUE!</v>
      </c>
      <c r="I92" s="153" t="e">
        <f ca="1">somaCodigoCartaoCredito(3,Classificacao!D26)</f>
        <v>#VALUE!</v>
      </c>
      <c r="J92" s="151" t="e">
        <f ca="1">somaCodigoCartaoCreditoParceladoProximoMes(4,Classificacao!D26)</f>
        <v>#VALUE!</v>
      </c>
      <c r="K92" s="153" t="e">
        <f ca="1">somaCodigoCartaoCredito(4,Classificacao!D26)</f>
        <v>#VALUE!</v>
      </c>
      <c r="L92" s="151" t="e">
        <f ca="1">somaCodigoCartaoCreditoParceladoProximoMes(5,Classificacao!D26)</f>
        <v>#VALUE!</v>
      </c>
      <c r="M92" s="153" t="e">
        <f ca="1">somaCodigoCartaoCredito(5,Classificacao!D26)</f>
        <v>#VALUE!</v>
      </c>
      <c r="N92" s="151" t="e">
        <f ca="1">somaCodigoCartaoCreditoParceladoProximoMes(6,Classificacao!D26)</f>
        <v>#VALUE!</v>
      </c>
      <c r="O92" s="153" t="e">
        <f ca="1">somaCodigoCartaoCredito(6,Classificacao!D26)</f>
        <v>#VALUE!</v>
      </c>
      <c r="P92" s="151" t="e">
        <f ca="1">somaCodigoCartaoCreditoParceladoProximoMes(7,Classificacao!D26)</f>
        <v>#VALUE!</v>
      </c>
      <c r="Q92" s="153" t="e">
        <f ca="1">somaCodigoCartaoCredito(7,Classificacao!D26)</f>
        <v>#VALUE!</v>
      </c>
      <c r="R92" s="151" t="e">
        <f ca="1">somaCodigoCartaoCreditoParceladoProximoMes(8,Classificacao!D26)</f>
        <v>#VALUE!</v>
      </c>
      <c r="S92" s="153" t="e">
        <f ca="1">somaCodigoCartaoCredito(8,Classificacao!D26)</f>
        <v>#VALUE!</v>
      </c>
      <c r="T92" s="151" t="e">
        <f ca="1">somaCodigoCartaoCreditoParceladoProximoMes(9,Classificacao!D26)</f>
        <v>#VALUE!</v>
      </c>
      <c r="U92" s="153" t="e">
        <f ca="1">somaCodigoCartaoCredito(9,Classificacao!D26)</f>
        <v>#VALUE!</v>
      </c>
      <c r="V92" s="151" t="e">
        <f ca="1">somaCodigoCartaoCreditoParceladoProximoMes(10,Classificacao!D26)</f>
        <v>#VALUE!</v>
      </c>
      <c r="W92" s="153" t="e">
        <f ca="1">somaCodigoCartaoCredito(10,Classificacao!D26)</f>
        <v>#VALUE!</v>
      </c>
      <c r="X92" s="151" t="e">
        <f ca="1">somaCodigoCartaoCreditoParceladoProximoMes(11,Classificacao!D26)</f>
        <v>#VALUE!</v>
      </c>
      <c r="Y92" s="153" t="e">
        <f ca="1">somaCodigoCartaoCredito(11,Classificacao!D26)</f>
        <v>#VALUE!</v>
      </c>
      <c r="Z92" s="151" t="e">
        <f ca="1">somaCodigoCartaoCreditoParceladoProximoMes(12,Classificacao!D26)</f>
        <v>#VALUE!</v>
      </c>
      <c r="AA92" s="153" t="e">
        <f ca="1">somaCodigoCartaoCredito(12,Classificacao!D26)</f>
        <v>#VALUE!</v>
      </c>
      <c r="AB92" s="6"/>
      <c r="AC92" s="134"/>
      <c r="AE92" s="105"/>
      <c r="AF92" s="124" t="e">
        <f t="shared" ca="1" si="3"/>
        <v>#VALUE!</v>
      </c>
    </row>
    <row r="93" spans="1:32" ht="12.75" customHeight="1" outlineLevel="1">
      <c r="A93" s="134"/>
      <c r="B93" s="6"/>
      <c r="C93" s="159">
        <f>Classificacao!F27</f>
        <v>0</v>
      </c>
      <c r="D93" s="151">
        <f ca="1">somaCodigoCartaoCreditoParceladoProximoMes(1,Classificacao!D27)</f>
        <v>0</v>
      </c>
      <c r="E93" s="153">
        <f ca="1">somaCodigoCartaoCredito(1,Classificacao!D27)</f>
        <v>0</v>
      </c>
      <c r="F93" s="151" t="e">
        <f ca="1">somaCodigoCartaoCreditoParceladoProximoMes(2,Classificacao!D27)</f>
        <v>#VALUE!</v>
      </c>
      <c r="G93" s="153" t="e">
        <f ca="1">somaCodigoCartaoCredito(2,Classificacao!D27)</f>
        <v>#VALUE!</v>
      </c>
      <c r="H93" s="151" t="e">
        <f ca="1">somaCodigoCartaoCreditoParceladoProximoMes(3,Classificacao!D27)</f>
        <v>#VALUE!</v>
      </c>
      <c r="I93" s="153" t="e">
        <f ca="1">somaCodigoCartaoCredito(3,Classificacao!D27)</f>
        <v>#VALUE!</v>
      </c>
      <c r="J93" s="151" t="e">
        <f ca="1">somaCodigoCartaoCreditoParceladoProximoMes(4,Classificacao!D27)</f>
        <v>#VALUE!</v>
      </c>
      <c r="K93" s="153" t="e">
        <f ca="1">somaCodigoCartaoCredito(4,Classificacao!D27)</f>
        <v>#VALUE!</v>
      </c>
      <c r="L93" s="151" t="e">
        <f ca="1">somaCodigoCartaoCreditoParceladoProximoMes(5,Classificacao!D27)</f>
        <v>#VALUE!</v>
      </c>
      <c r="M93" s="153" t="e">
        <f ca="1">somaCodigoCartaoCredito(5,Classificacao!D27)</f>
        <v>#VALUE!</v>
      </c>
      <c r="N93" s="151" t="e">
        <f ca="1">somaCodigoCartaoCreditoParceladoProximoMes(6,Classificacao!D27)</f>
        <v>#VALUE!</v>
      </c>
      <c r="O93" s="153" t="e">
        <f ca="1">somaCodigoCartaoCredito(6,Classificacao!D27)</f>
        <v>#VALUE!</v>
      </c>
      <c r="P93" s="151" t="e">
        <f ca="1">somaCodigoCartaoCreditoParceladoProximoMes(7,Classificacao!D27)</f>
        <v>#VALUE!</v>
      </c>
      <c r="Q93" s="153" t="e">
        <f ca="1">somaCodigoCartaoCredito(7,Classificacao!D27)</f>
        <v>#VALUE!</v>
      </c>
      <c r="R93" s="151" t="e">
        <f ca="1">somaCodigoCartaoCreditoParceladoProximoMes(8,Classificacao!D27)</f>
        <v>#VALUE!</v>
      </c>
      <c r="S93" s="153" t="e">
        <f ca="1">somaCodigoCartaoCredito(8,Classificacao!D27)</f>
        <v>#VALUE!</v>
      </c>
      <c r="T93" s="151" t="e">
        <f ca="1">somaCodigoCartaoCreditoParceladoProximoMes(9,Classificacao!D27)</f>
        <v>#VALUE!</v>
      </c>
      <c r="U93" s="153" t="e">
        <f ca="1">somaCodigoCartaoCredito(9,Classificacao!D27)</f>
        <v>#VALUE!</v>
      </c>
      <c r="V93" s="151" t="e">
        <f ca="1">somaCodigoCartaoCreditoParceladoProximoMes(10,Classificacao!D27)</f>
        <v>#VALUE!</v>
      </c>
      <c r="W93" s="153" t="e">
        <f ca="1">somaCodigoCartaoCredito(10,Classificacao!D27)</f>
        <v>#VALUE!</v>
      </c>
      <c r="X93" s="151" t="e">
        <f ca="1">somaCodigoCartaoCreditoParceladoProximoMes(11,Classificacao!D27)</f>
        <v>#VALUE!</v>
      </c>
      <c r="Y93" s="153" t="e">
        <f ca="1">somaCodigoCartaoCredito(11,Classificacao!D27)</f>
        <v>#VALUE!</v>
      </c>
      <c r="Z93" s="151" t="e">
        <f ca="1">somaCodigoCartaoCreditoParceladoProximoMes(12,Classificacao!D27)</f>
        <v>#VALUE!</v>
      </c>
      <c r="AA93" s="153" t="e">
        <f ca="1">somaCodigoCartaoCredito(12,Classificacao!D27)</f>
        <v>#VALUE!</v>
      </c>
      <c r="AB93" s="6"/>
      <c r="AC93" s="134"/>
      <c r="AE93" s="105"/>
      <c r="AF93" s="124" t="e">
        <f t="shared" ca="1" si="3"/>
        <v>#VALUE!</v>
      </c>
    </row>
    <row r="94" spans="1:32" ht="12.75" customHeight="1" outlineLevel="1">
      <c r="A94" s="134"/>
      <c r="B94" s="6"/>
      <c r="C94" s="159">
        <f>Classificacao!F28</f>
        <v>0</v>
      </c>
      <c r="D94" s="151">
        <f ca="1">somaCodigoCartaoCreditoParceladoProximoMes(1,Classificacao!D28)</f>
        <v>0</v>
      </c>
      <c r="E94" s="153">
        <f ca="1">somaCodigoCartaoCredito(1,Classificacao!D28)</f>
        <v>0</v>
      </c>
      <c r="F94" s="151" t="e">
        <f ca="1">somaCodigoCartaoCreditoParceladoProximoMes(2,Classificacao!D28)</f>
        <v>#VALUE!</v>
      </c>
      <c r="G94" s="153" t="e">
        <f ca="1">somaCodigoCartaoCredito(2,Classificacao!D28)</f>
        <v>#VALUE!</v>
      </c>
      <c r="H94" s="151" t="e">
        <f ca="1">somaCodigoCartaoCreditoParceladoProximoMes(3,Classificacao!D28)</f>
        <v>#VALUE!</v>
      </c>
      <c r="I94" s="153" t="e">
        <f ca="1">somaCodigoCartaoCredito(3,Classificacao!D28)</f>
        <v>#VALUE!</v>
      </c>
      <c r="J94" s="151" t="e">
        <f ca="1">somaCodigoCartaoCreditoParceladoProximoMes(4,Classificacao!D28)</f>
        <v>#VALUE!</v>
      </c>
      <c r="K94" s="153" t="e">
        <f ca="1">somaCodigoCartaoCredito(4,Classificacao!D28)</f>
        <v>#VALUE!</v>
      </c>
      <c r="L94" s="151" t="e">
        <f ca="1">somaCodigoCartaoCreditoParceladoProximoMes(5,Classificacao!D28)</f>
        <v>#VALUE!</v>
      </c>
      <c r="M94" s="153" t="e">
        <f ca="1">somaCodigoCartaoCredito(5,Classificacao!D28)</f>
        <v>#VALUE!</v>
      </c>
      <c r="N94" s="151" t="e">
        <f ca="1">somaCodigoCartaoCreditoParceladoProximoMes(6,Classificacao!D28)</f>
        <v>#VALUE!</v>
      </c>
      <c r="O94" s="153" t="e">
        <f ca="1">somaCodigoCartaoCredito(6,Classificacao!D28)</f>
        <v>#VALUE!</v>
      </c>
      <c r="P94" s="151" t="e">
        <f ca="1">somaCodigoCartaoCreditoParceladoProximoMes(7,Classificacao!D28)</f>
        <v>#VALUE!</v>
      </c>
      <c r="Q94" s="153" t="e">
        <f ca="1">somaCodigoCartaoCredito(7,Classificacao!D28)</f>
        <v>#VALUE!</v>
      </c>
      <c r="R94" s="151" t="e">
        <f ca="1">somaCodigoCartaoCreditoParceladoProximoMes(8,Classificacao!D28)</f>
        <v>#VALUE!</v>
      </c>
      <c r="S94" s="153" t="e">
        <f ca="1">somaCodigoCartaoCredito(8,Classificacao!D28)</f>
        <v>#VALUE!</v>
      </c>
      <c r="T94" s="151" t="e">
        <f ca="1">somaCodigoCartaoCreditoParceladoProximoMes(9,Classificacao!D28)</f>
        <v>#VALUE!</v>
      </c>
      <c r="U94" s="153" t="e">
        <f ca="1">somaCodigoCartaoCredito(9,Classificacao!D28)</f>
        <v>#VALUE!</v>
      </c>
      <c r="V94" s="151" t="e">
        <f ca="1">somaCodigoCartaoCreditoParceladoProximoMes(10,Classificacao!D28)</f>
        <v>#VALUE!</v>
      </c>
      <c r="W94" s="153" t="e">
        <f ca="1">somaCodigoCartaoCredito(10,Classificacao!D28)</f>
        <v>#VALUE!</v>
      </c>
      <c r="X94" s="151" t="e">
        <f ca="1">somaCodigoCartaoCreditoParceladoProximoMes(11,Classificacao!D28)</f>
        <v>#VALUE!</v>
      </c>
      <c r="Y94" s="153" t="e">
        <f ca="1">somaCodigoCartaoCredito(11,Classificacao!D28)</f>
        <v>#VALUE!</v>
      </c>
      <c r="Z94" s="151" t="e">
        <f ca="1">somaCodigoCartaoCreditoParceladoProximoMes(12,Classificacao!D28)</f>
        <v>#VALUE!</v>
      </c>
      <c r="AA94" s="153" t="e">
        <f ca="1">somaCodigoCartaoCredito(12,Classificacao!D28)</f>
        <v>#VALUE!</v>
      </c>
      <c r="AB94" s="6"/>
      <c r="AC94" s="134"/>
      <c r="AE94" s="105"/>
      <c r="AF94" s="124" t="e">
        <f t="shared" ca="1" si="3"/>
        <v>#VALUE!</v>
      </c>
    </row>
    <row r="95" spans="1:32" ht="12.75" customHeight="1" outlineLevel="1">
      <c r="A95" s="134"/>
      <c r="B95" s="6"/>
      <c r="C95" s="159">
        <f>Classificacao!F29</f>
        <v>0</v>
      </c>
      <c r="D95" s="151">
        <f ca="1">somaCodigoCartaoCreditoParceladoProximoMes(1,Classificacao!D29)</f>
        <v>0</v>
      </c>
      <c r="E95" s="153">
        <f ca="1">somaCodigoCartaoCredito(1,Classificacao!D29)</f>
        <v>0</v>
      </c>
      <c r="F95" s="151" t="e">
        <f ca="1">somaCodigoCartaoCreditoParceladoProximoMes(2,Classificacao!D29)</f>
        <v>#VALUE!</v>
      </c>
      <c r="G95" s="153" t="e">
        <f ca="1">somaCodigoCartaoCredito(2,Classificacao!D29)</f>
        <v>#VALUE!</v>
      </c>
      <c r="H95" s="151" t="e">
        <f ca="1">somaCodigoCartaoCreditoParceladoProximoMes(3,Classificacao!D29)</f>
        <v>#VALUE!</v>
      </c>
      <c r="I95" s="153" t="e">
        <f ca="1">somaCodigoCartaoCredito(3,Classificacao!D29)</f>
        <v>#VALUE!</v>
      </c>
      <c r="J95" s="151" t="e">
        <f ca="1">somaCodigoCartaoCreditoParceladoProximoMes(4,Classificacao!D29)</f>
        <v>#VALUE!</v>
      </c>
      <c r="K95" s="153" t="e">
        <f ca="1">somaCodigoCartaoCredito(4,Classificacao!D29)</f>
        <v>#VALUE!</v>
      </c>
      <c r="L95" s="151" t="e">
        <f ca="1">somaCodigoCartaoCreditoParceladoProximoMes(5,Classificacao!D29)</f>
        <v>#VALUE!</v>
      </c>
      <c r="M95" s="153" t="e">
        <f ca="1">somaCodigoCartaoCredito(5,Classificacao!D29)</f>
        <v>#VALUE!</v>
      </c>
      <c r="N95" s="151" t="e">
        <f ca="1">somaCodigoCartaoCreditoParceladoProximoMes(6,Classificacao!D29)</f>
        <v>#VALUE!</v>
      </c>
      <c r="O95" s="153" t="e">
        <f ca="1">somaCodigoCartaoCredito(6,Classificacao!D29)</f>
        <v>#VALUE!</v>
      </c>
      <c r="P95" s="151" t="e">
        <f ca="1">somaCodigoCartaoCreditoParceladoProximoMes(7,Classificacao!D29)</f>
        <v>#VALUE!</v>
      </c>
      <c r="Q95" s="153" t="e">
        <f ca="1">somaCodigoCartaoCredito(7,Classificacao!D29)</f>
        <v>#VALUE!</v>
      </c>
      <c r="R95" s="151" t="e">
        <f ca="1">somaCodigoCartaoCreditoParceladoProximoMes(8,Classificacao!D29)</f>
        <v>#VALUE!</v>
      </c>
      <c r="S95" s="153" t="e">
        <f ca="1">somaCodigoCartaoCredito(8,Classificacao!D29)</f>
        <v>#VALUE!</v>
      </c>
      <c r="T95" s="151" t="e">
        <f ca="1">somaCodigoCartaoCreditoParceladoProximoMes(9,Classificacao!D29)</f>
        <v>#VALUE!</v>
      </c>
      <c r="U95" s="153" t="e">
        <f ca="1">somaCodigoCartaoCredito(9,Classificacao!D29)</f>
        <v>#VALUE!</v>
      </c>
      <c r="V95" s="151" t="e">
        <f ca="1">somaCodigoCartaoCreditoParceladoProximoMes(10,Classificacao!D29)</f>
        <v>#VALUE!</v>
      </c>
      <c r="W95" s="153" t="e">
        <f ca="1">somaCodigoCartaoCredito(10,Classificacao!D29)</f>
        <v>#VALUE!</v>
      </c>
      <c r="X95" s="151" t="e">
        <f ca="1">somaCodigoCartaoCreditoParceladoProximoMes(11,Classificacao!D29)</f>
        <v>#VALUE!</v>
      </c>
      <c r="Y95" s="153" t="e">
        <f ca="1">somaCodigoCartaoCredito(11,Classificacao!D29)</f>
        <v>#VALUE!</v>
      </c>
      <c r="Z95" s="151" t="e">
        <f ca="1">somaCodigoCartaoCreditoParceladoProximoMes(12,Classificacao!D29)</f>
        <v>#VALUE!</v>
      </c>
      <c r="AA95" s="153" t="e">
        <f ca="1">somaCodigoCartaoCredito(12,Classificacao!D29)</f>
        <v>#VALUE!</v>
      </c>
      <c r="AB95" s="6"/>
      <c r="AC95" s="134"/>
      <c r="AE95" s="105"/>
      <c r="AF95" s="124" t="e">
        <f t="shared" ca="1" si="3"/>
        <v>#VALUE!</v>
      </c>
    </row>
    <row r="96" spans="1:32" ht="12.75" customHeight="1" outlineLevel="1">
      <c r="A96" s="134"/>
      <c r="B96" s="6"/>
      <c r="C96" s="159">
        <f>Classificacao!F30</f>
        <v>0</v>
      </c>
      <c r="D96" s="151">
        <f ca="1">somaCodigoCartaoCreditoParceladoProximoMes(1,Classificacao!D30)</f>
        <v>0</v>
      </c>
      <c r="E96" s="153">
        <f ca="1">somaCodigoCartaoCredito(1,Classificacao!D30)</f>
        <v>0</v>
      </c>
      <c r="F96" s="151" t="e">
        <f ca="1">somaCodigoCartaoCreditoParceladoProximoMes(2,Classificacao!D30)</f>
        <v>#VALUE!</v>
      </c>
      <c r="G96" s="153" t="e">
        <f ca="1">somaCodigoCartaoCredito(2,Classificacao!D30)</f>
        <v>#VALUE!</v>
      </c>
      <c r="H96" s="151" t="e">
        <f ca="1">somaCodigoCartaoCreditoParceladoProximoMes(3,Classificacao!D30)</f>
        <v>#VALUE!</v>
      </c>
      <c r="I96" s="153" t="e">
        <f ca="1">somaCodigoCartaoCredito(3,Classificacao!D30)</f>
        <v>#VALUE!</v>
      </c>
      <c r="J96" s="151" t="e">
        <f ca="1">somaCodigoCartaoCreditoParceladoProximoMes(4,Classificacao!D30)</f>
        <v>#VALUE!</v>
      </c>
      <c r="K96" s="153" t="e">
        <f ca="1">somaCodigoCartaoCredito(4,Classificacao!D30)</f>
        <v>#VALUE!</v>
      </c>
      <c r="L96" s="151" t="e">
        <f ca="1">somaCodigoCartaoCreditoParceladoProximoMes(5,Classificacao!D30)</f>
        <v>#VALUE!</v>
      </c>
      <c r="M96" s="153" t="e">
        <f ca="1">somaCodigoCartaoCredito(5,Classificacao!D30)</f>
        <v>#VALUE!</v>
      </c>
      <c r="N96" s="151" t="e">
        <f ca="1">somaCodigoCartaoCreditoParceladoProximoMes(6,Classificacao!D30)</f>
        <v>#VALUE!</v>
      </c>
      <c r="O96" s="153" t="e">
        <f ca="1">somaCodigoCartaoCredito(6,Classificacao!D30)</f>
        <v>#VALUE!</v>
      </c>
      <c r="P96" s="151" t="e">
        <f ca="1">somaCodigoCartaoCreditoParceladoProximoMes(7,Classificacao!D30)</f>
        <v>#VALUE!</v>
      </c>
      <c r="Q96" s="153" t="e">
        <f ca="1">somaCodigoCartaoCredito(7,Classificacao!D30)</f>
        <v>#VALUE!</v>
      </c>
      <c r="R96" s="151" t="e">
        <f ca="1">somaCodigoCartaoCreditoParceladoProximoMes(8,Classificacao!D30)</f>
        <v>#VALUE!</v>
      </c>
      <c r="S96" s="153" t="e">
        <f ca="1">somaCodigoCartaoCredito(8,Classificacao!D30)</f>
        <v>#VALUE!</v>
      </c>
      <c r="T96" s="151" t="e">
        <f ca="1">somaCodigoCartaoCreditoParceladoProximoMes(9,Classificacao!D30)</f>
        <v>#VALUE!</v>
      </c>
      <c r="U96" s="153" t="e">
        <f ca="1">somaCodigoCartaoCredito(9,Classificacao!D30)</f>
        <v>#VALUE!</v>
      </c>
      <c r="V96" s="151" t="e">
        <f ca="1">somaCodigoCartaoCreditoParceladoProximoMes(10,Classificacao!D30)</f>
        <v>#VALUE!</v>
      </c>
      <c r="W96" s="153" t="e">
        <f ca="1">somaCodigoCartaoCredito(10,Classificacao!D30)</f>
        <v>#VALUE!</v>
      </c>
      <c r="X96" s="151" t="e">
        <f ca="1">somaCodigoCartaoCreditoParceladoProximoMes(11,Classificacao!D30)</f>
        <v>#VALUE!</v>
      </c>
      <c r="Y96" s="153" t="e">
        <f ca="1">somaCodigoCartaoCredito(11,Classificacao!D30)</f>
        <v>#VALUE!</v>
      </c>
      <c r="Z96" s="151" t="e">
        <f ca="1">somaCodigoCartaoCreditoParceladoProximoMes(12,Classificacao!D30)</f>
        <v>#VALUE!</v>
      </c>
      <c r="AA96" s="153" t="e">
        <f ca="1">somaCodigoCartaoCredito(12,Classificacao!D30)</f>
        <v>#VALUE!</v>
      </c>
      <c r="AB96" s="6"/>
      <c r="AC96" s="134"/>
      <c r="AE96" s="105"/>
      <c r="AF96" s="124" t="e">
        <f t="shared" ca="1" si="3"/>
        <v>#VALUE!</v>
      </c>
    </row>
    <row r="97" spans="1:32" ht="12.75" customHeight="1" outlineLevel="1">
      <c r="A97" s="134"/>
      <c r="B97" s="6"/>
      <c r="C97" s="159">
        <f>Classificacao!F31</f>
        <v>0</v>
      </c>
      <c r="D97" s="151">
        <f ca="1">somaCodigoCartaoCreditoParceladoProximoMes(1,Classificacao!D31)</f>
        <v>0</v>
      </c>
      <c r="E97" s="153">
        <f ca="1">somaCodigoCartaoCredito(1,Classificacao!D31)</f>
        <v>0</v>
      </c>
      <c r="F97" s="151" t="e">
        <f ca="1">somaCodigoCartaoCreditoParceladoProximoMes(2,Classificacao!D31)</f>
        <v>#VALUE!</v>
      </c>
      <c r="G97" s="153" t="e">
        <f ca="1">somaCodigoCartaoCredito(2,Classificacao!D31)</f>
        <v>#VALUE!</v>
      </c>
      <c r="H97" s="151" t="e">
        <f ca="1">somaCodigoCartaoCreditoParceladoProximoMes(3,Classificacao!D31)</f>
        <v>#VALUE!</v>
      </c>
      <c r="I97" s="153" t="e">
        <f ca="1">somaCodigoCartaoCredito(3,Classificacao!D31)</f>
        <v>#VALUE!</v>
      </c>
      <c r="J97" s="151" t="e">
        <f ca="1">somaCodigoCartaoCreditoParceladoProximoMes(4,Classificacao!D31)</f>
        <v>#VALUE!</v>
      </c>
      <c r="K97" s="153" t="e">
        <f ca="1">somaCodigoCartaoCredito(4,Classificacao!D31)</f>
        <v>#VALUE!</v>
      </c>
      <c r="L97" s="151" t="e">
        <f ca="1">somaCodigoCartaoCreditoParceladoProximoMes(5,Classificacao!D31)</f>
        <v>#VALUE!</v>
      </c>
      <c r="M97" s="153" t="e">
        <f ca="1">somaCodigoCartaoCredito(5,Classificacao!D31)</f>
        <v>#VALUE!</v>
      </c>
      <c r="N97" s="151" t="e">
        <f ca="1">somaCodigoCartaoCreditoParceladoProximoMes(6,Classificacao!D31)</f>
        <v>#VALUE!</v>
      </c>
      <c r="O97" s="153" t="e">
        <f ca="1">somaCodigoCartaoCredito(6,Classificacao!D31)</f>
        <v>#VALUE!</v>
      </c>
      <c r="P97" s="151" t="e">
        <f ca="1">somaCodigoCartaoCreditoParceladoProximoMes(7,Classificacao!D31)</f>
        <v>#VALUE!</v>
      </c>
      <c r="Q97" s="153" t="e">
        <f ca="1">somaCodigoCartaoCredito(7,Classificacao!D31)</f>
        <v>#VALUE!</v>
      </c>
      <c r="R97" s="151" t="e">
        <f ca="1">somaCodigoCartaoCreditoParceladoProximoMes(8,Classificacao!D31)</f>
        <v>#VALUE!</v>
      </c>
      <c r="S97" s="153" t="e">
        <f ca="1">somaCodigoCartaoCredito(8,Classificacao!D31)</f>
        <v>#VALUE!</v>
      </c>
      <c r="T97" s="151" t="e">
        <f ca="1">somaCodigoCartaoCreditoParceladoProximoMes(9,Classificacao!D31)</f>
        <v>#VALUE!</v>
      </c>
      <c r="U97" s="153" t="e">
        <f ca="1">somaCodigoCartaoCredito(9,Classificacao!D31)</f>
        <v>#VALUE!</v>
      </c>
      <c r="V97" s="151" t="e">
        <f ca="1">somaCodigoCartaoCreditoParceladoProximoMes(10,Classificacao!D31)</f>
        <v>#VALUE!</v>
      </c>
      <c r="W97" s="153" t="e">
        <f ca="1">somaCodigoCartaoCredito(10,Classificacao!D31)</f>
        <v>#VALUE!</v>
      </c>
      <c r="X97" s="151" t="e">
        <f ca="1">somaCodigoCartaoCreditoParceladoProximoMes(11,Classificacao!D31)</f>
        <v>#VALUE!</v>
      </c>
      <c r="Y97" s="153" t="e">
        <f ca="1">somaCodigoCartaoCredito(11,Classificacao!D31)</f>
        <v>#VALUE!</v>
      </c>
      <c r="Z97" s="151" t="e">
        <f ca="1">somaCodigoCartaoCreditoParceladoProximoMes(12,Classificacao!D31)</f>
        <v>#VALUE!</v>
      </c>
      <c r="AA97" s="153" t="e">
        <f ca="1">somaCodigoCartaoCredito(12,Classificacao!D31)</f>
        <v>#VALUE!</v>
      </c>
      <c r="AB97" s="6"/>
      <c r="AC97" s="134"/>
      <c r="AE97" s="105"/>
      <c r="AF97" s="124" t="e">
        <f t="shared" ca="1" si="3"/>
        <v>#VALUE!</v>
      </c>
    </row>
    <row r="98" spans="1:32" ht="12.75" customHeight="1" outlineLevel="1">
      <c r="A98" s="134"/>
      <c r="B98" s="6"/>
      <c r="C98" s="159">
        <f>Classificacao!F32</f>
        <v>0</v>
      </c>
      <c r="D98" s="151">
        <f ca="1">somaCodigoCartaoCreditoParceladoProximoMes(1,Classificacao!D32)</f>
        <v>0</v>
      </c>
      <c r="E98" s="153">
        <f ca="1">somaCodigoCartaoCredito(1,Classificacao!D32)</f>
        <v>0</v>
      </c>
      <c r="F98" s="151" t="e">
        <f ca="1">somaCodigoCartaoCreditoParceladoProximoMes(2,Classificacao!D32)</f>
        <v>#VALUE!</v>
      </c>
      <c r="G98" s="153" t="e">
        <f ca="1">somaCodigoCartaoCredito(2,Classificacao!D32)</f>
        <v>#VALUE!</v>
      </c>
      <c r="H98" s="151" t="e">
        <f ca="1">somaCodigoCartaoCreditoParceladoProximoMes(3,Classificacao!D32)</f>
        <v>#VALUE!</v>
      </c>
      <c r="I98" s="153" t="e">
        <f ca="1">somaCodigoCartaoCredito(3,Classificacao!D32)</f>
        <v>#VALUE!</v>
      </c>
      <c r="J98" s="151" t="e">
        <f ca="1">somaCodigoCartaoCreditoParceladoProximoMes(4,Classificacao!D32)</f>
        <v>#VALUE!</v>
      </c>
      <c r="K98" s="153" t="e">
        <f ca="1">somaCodigoCartaoCredito(4,Classificacao!D32)</f>
        <v>#VALUE!</v>
      </c>
      <c r="L98" s="151" t="e">
        <f ca="1">somaCodigoCartaoCreditoParceladoProximoMes(5,Classificacao!D32)</f>
        <v>#VALUE!</v>
      </c>
      <c r="M98" s="153" t="e">
        <f ca="1">somaCodigoCartaoCredito(5,Classificacao!D32)</f>
        <v>#VALUE!</v>
      </c>
      <c r="N98" s="151" t="e">
        <f ca="1">somaCodigoCartaoCreditoParceladoProximoMes(6,Classificacao!D32)</f>
        <v>#VALUE!</v>
      </c>
      <c r="O98" s="153" t="e">
        <f ca="1">somaCodigoCartaoCredito(6,Classificacao!D32)</f>
        <v>#VALUE!</v>
      </c>
      <c r="P98" s="151" t="e">
        <f ca="1">somaCodigoCartaoCreditoParceladoProximoMes(7,Classificacao!D32)</f>
        <v>#VALUE!</v>
      </c>
      <c r="Q98" s="153" t="e">
        <f ca="1">somaCodigoCartaoCredito(7,Classificacao!D32)</f>
        <v>#VALUE!</v>
      </c>
      <c r="R98" s="151" t="e">
        <f ca="1">somaCodigoCartaoCreditoParceladoProximoMes(8,Classificacao!D32)</f>
        <v>#VALUE!</v>
      </c>
      <c r="S98" s="153" t="e">
        <f ca="1">somaCodigoCartaoCredito(8,Classificacao!D32)</f>
        <v>#VALUE!</v>
      </c>
      <c r="T98" s="151" t="e">
        <f ca="1">somaCodigoCartaoCreditoParceladoProximoMes(9,Classificacao!D32)</f>
        <v>#VALUE!</v>
      </c>
      <c r="U98" s="153" t="e">
        <f ca="1">somaCodigoCartaoCredito(9,Classificacao!D32)</f>
        <v>#VALUE!</v>
      </c>
      <c r="V98" s="151" t="e">
        <f ca="1">somaCodigoCartaoCreditoParceladoProximoMes(10,Classificacao!D32)</f>
        <v>#VALUE!</v>
      </c>
      <c r="W98" s="153" t="e">
        <f ca="1">somaCodigoCartaoCredito(10,Classificacao!D32)</f>
        <v>#VALUE!</v>
      </c>
      <c r="X98" s="151" t="e">
        <f ca="1">somaCodigoCartaoCreditoParceladoProximoMes(11,Classificacao!D32)</f>
        <v>#VALUE!</v>
      </c>
      <c r="Y98" s="153" t="e">
        <f ca="1">somaCodigoCartaoCredito(11,Classificacao!D32)</f>
        <v>#VALUE!</v>
      </c>
      <c r="Z98" s="151" t="e">
        <f ca="1">somaCodigoCartaoCreditoParceladoProximoMes(12,Classificacao!D32)</f>
        <v>#VALUE!</v>
      </c>
      <c r="AA98" s="153" t="e">
        <f ca="1">somaCodigoCartaoCredito(12,Classificacao!D32)</f>
        <v>#VALUE!</v>
      </c>
      <c r="AB98" s="6"/>
      <c r="AC98" s="134"/>
      <c r="AE98" s="105"/>
      <c r="AF98" s="124" t="e">
        <f t="shared" ca="1" si="3"/>
        <v>#VALUE!</v>
      </c>
    </row>
    <row r="99" spans="1:32" ht="12.75" customHeight="1" outlineLevel="1">
      <c r="A99" s="134"/>
      <c r="B99" s="6"/>
      <c r="C99" s="159">
        <f>Classificacao!F33</f>
        <v>0</v>
      </c>
      <c r="D99" s="151">
        <f ca="1">somaCodigoCartaoCreditoParceladoProximoMes(1,Classificacao!D33)</f>
        <v>0</v>
      </c>
      <c r="E99" s="153">
        <f ca="1">somaCodigoCartaoCredito(1,Classificacao!D33)</f>
        <v>0</v>
      </c>
      <c r="F99" s="151" t="e">
        <f ca="1">somaCodigoCartaoCreditoParceladoProximoMes(2,Classificacao!D33)</f>
        <v>#VALUE!</v>
      </c>
      <c r="G99" s="153" t="e">
        <f ca="1">somaCodigoCartaoCredito(2,Classificacao!D33)</f>
        <v>#VALUE!</v>
      </c>
      <c r="H99" s="151" t="e">
        <f ca="1">somaCodigoCartaoCreditoParceladoProximoMes(3,Classificacao!D33)</f>
        <v>#VALUE!</v>
      </c>
      <c r="I99" s="153" t="e">
        <f ca="1">somaCodigoCartaoCredito(3,Classificacao!D33)</f>
        <v>#VALUE!</v>
      </c>
      <c r="J99" s="151" t="e">
        <f ca="1">somaCodigoCartaoCreditoParceladoProximoMes(4,Classificacao!D33)</f>
        <v>#VALUE!</v>
      </c>
      <c r="K99" s="153" t="e">
        <f ca="1">somaCodigoCartaoCredito(4,Classificacao!D33)</f>
        <v>#VALUE!</v>
      </c>
      <c r="L99" s="151" t="e">
        <f ca="1">somaCodigoCartaoCreditoParceladoProximoMes(5,Classificacao!D33)</f>
        <v>#VALUE!</v>
      </c>
      <c r="M99" s="153" t="e">
        <f ca="1">somaCodigoCartaoCredito(5,Classificacao!D33)</f>
        <v>#VALUE!</v>
      </c>
      <c r="N99" s="151" t="e">
        <f ca="1">somaCodigoCartaoCreditoParceladoProximoMes(6,Classificacao!D33)</f>
        <v>#VALUE!</v>
      </c>
      <c r="O99" s="153" t="e">
        <f ca="1">somaCodigoCartaoCredito(6,Classificacao!D33)</f>
        <v>#VALUE!</v>
      </c>
      <c r="P99" s="151" t="e">
        <f ca="1">somaCodigoCartaoCreditoParceladoProximoMes(7,Classificacao!D33)</f>
        <v>#VALUE!</v>
      </c>
      <c r="Q99" s="153" t="e">
        <f ca="1">somaCodigoCartaoCredito(7,Classificacao!D33)</f>
        <v>#VALUE!</v>
      </c>
      <c r="R99" s="151" t="e">
        <f ca="1">somaCodigoCartaoCreditoParceladoProximoMes(8,Classificacao!D33)</f>
        <v>#VALUE!</v>
      </c>
      <c r="S99" s="153" t="e">
        <f ca="1">somaCodigoCartaoCredito(8,Classificacao!D33)</f>
        <v>#VALUE!</v>
      </c>
      <c r="T99" s="151" t="e">
        <f ca="1">somaCodigoCartaoCreditoParceladoProximoMes(9,Classificacao!D33)</f>
        <v>#VALUE!</v>
      </c>
      <c r="U99" s="153" t="e">
        <f ca="1">somaCodigoCartaoCredito(9,Classificacao!D33)</f>
        <v>#VALUE!</v>
      </c>
      <c r="V99" s="151" t="e">
        <f ca="1">somaCodigoCartaoCreditoParceladoProximoMes(10,Classificacao!D33)</f>
        <v>#VALUE!</v>
      </c>
      <c r="W99" s="153" t="e">
        <f ca="1">somaCodigoCartaoCredito(10,Classificacao!D33)</f>
        <v>#VALUE!</v>
      </c>
      <c r="X99" s="151" t="e">
        <f ca="1">somaCodigoCartaoCreditoParceladoProximoMes(11,Classificacao!D33)</f>
        <v>#VALUE!</v>
      </c>
      <c r="Y99" s="153" t="e">
        <f ca="1">somaCodigoCartaoCredito(11,Classificacao!D33)</f>
        <v>#VALUE!</v>
      </c>
      <c r="Z99" s="151" t="e">
        <f ca="1">somaCodigoCartaoCreditoParceladoProximoMes(12,Classificacao!D33)</f>
        <v>#VALUE!</v>
      </c>
      <c r="AA99" s="153" t="e">
        <f ca="1">somaCodigoCartaoCredito(12,Classificacao!D33)</f>
        <v>#VALUE!</v>
      </c>
      <c r="AB99" s="6"/>
      <c r="AC99" s="134"/>
      <c r="AE99" s="105"/>
      <c r="AF99" s="124" t="e">
        <f t="shared" ca="1" si="3"/>
        <v>#VALUE!</v>
      </c>
    </row>
    <row r="100" spans="1:32" ht="12.75" customHeight="1" outlineLevel="1">
      <c r="A100" s="134"/>
      <c r="B100" s="6"/>
      <c r="C100" s="159">
        <f>Classificacao!F34</f>
        <v>0</v>
      </c>
      <c r="D100" s="151">
        <f ca="1">somaCodigoCartaoCreditoParceladoProximoMes(1,Classificacao!D34)</f>
        <v>0</v>
      </c>
      <c r="E100" s="153">
        <f ca="1">somaCodigoCartaoCredito(1,Classificacao!D34)</f>
        <v>0</v>
      </c>
      <c r="F100" s="151" t="e">
        <f ca="1">somaCodigoCartaoCreditoParceladoProximoMes(2,Classificacao!D34)</f>
        <v>#VALUE!</v>
      </c>
      <c r="G100" s="153" t="e">
        <f ca="1">somaCodigoCartaoCredito(2,Classificacao!D34)</f>
        <v>#VALUE!</v>
      </c>
      <c r="H100" s="151" t="e">
        <f ca="1">somaCodigoCartaoCreditoParceladoProximoMes(3,Classificacao!D34)</f>
        <v>#VALUE!</v>
      </c>
      <c r="I100" s="153" t="e">
        <f ca="1">somaCodigoCartaoCredito(3,Classificacao!D34)</f>
        <v>#VALUE!</v>
      </c>
      <c r="J100" s="151" t="e">
        <f ca="1">somaCodigoCartaoCreditoParceladoProximoMes(4,Classificacao!D34)</f>
        <v>#VALUE!</v>
      </c>
      <c r="K100" s="153" t="e">
        <f ca="1">somaCodigoCartaoCredito(4,Classificacao!D34)</f>
        <v>#VALUE!</v>
      </c>
      <c r="L100" s="151" t="e">
        <f ca="1">somaCodigoCartaoCreditoParceladoProximoMes(5,Classificacao!D34)</f>
        <v>#VALUE!</v>
      </c>
      <c r="M100" s="153" t="e">
        <f ca="1">somaCodigoCartaoCredito(5,Classificacao!D34)</f>
        <v>#VALUE!</v>
      </c>
      <c r="N100" s="151" t="e">
        <f ca="1">somaCodigoCartaoCreditoParceladoProximoMes(6,Classificacao!D34)</f>
        <v>#VALUE!</v>
      </c>
      <c r="O100" s="153" t="e">
        <f ca="1">somaCodigoCartaoCredito(6,Classificacao!D34)</f>
        <v>#VALUE!</v>
      </c>
      <c r="P100" s="151" t="e">
        <f ca="1">somaCodigoCartaoCreditoParceladoProximoMes(7,Classificacao!D34)</f>
        <v>#VALUE!</v>
      </c>
      <c r="Q100" s="153" t="e">
        <f ca="1">somaCodigoCartaoCredito(7,Classificacao!D34)</f>
        <v>#VALUE!</v>
      </c>
      <c r="R100" s="151" t="e">
        <f ca="1">somaCodigoCartaoCreditoParceladoProximoMes(8,Classificacao!D34)</f>
        <v>#VALUE!</v>
      </c>
      <c r="S100" s="153" t="e">
        <f ca="1">somaCodigoCartaoCredito(8,Classificacao!D34)</f>
        <v>#VALUE!</v>
      </c>
      <c r="T100" s="151" t="e">
        <f ca="1">somaCodigoCartaoCreditoParceladoProximoMes(9,Classificacao!D34)</f>
        <v>#VALUE!</v>
      </c>
      <c r="U100" s="153" t="e">
        <f ca="1">somaCodigoCartaoCredito(9,Classificacao!D34)</f>
        <v>#VALUE!</v>
      </c>
      <c r="V100" s="151" t="e">
        <f ca="1">somaCodigoCartaoCreditoParceladoProximoMes(10,Classificacao!D34)</f>
        <v>#VALUE!</v>
      </c>
      <c r="W100" s="153" t="e">
        <f ca="1">somaCodigoCartaoCredito(10,Classificacao!D34)</f>
        <v>#VALUE!</v>
      </c>
      <c r="X100" s="151" t="e">
        <f ca="1">somaCodigoCartaoCreditoParceladoProximoMes(11,Classificacao!D34)</f>
        <v>#VALUE!</v>
      </c>
      <c r="Y100" s="153" t="e">
        <f ca="1">somaCodigoCartaoCredito(11,Classificacao!D34)</f>
        <v>#VALUE!</v>
      </c>
      <c r="Z100" s="151" t="e">
        <f ca="1">somaCodigoCartaoCreditoParceladoProximoMes(12,Classificacao!D34)</f>
        <v>#VALUE!</v>
      </c>
      <c r="AA100" s="153" t="e">
        <f ca="1">somaCodigoCartaoCredito(12,Classificacao!D34)</f>
        <v>#VALUE!</v>
      </c>
      <c r="AB100" s="6"/>
      <c r="AC100" s="134"/>
      <c r="AE100" s="105"/>
      <c r="AF100" s="124" t="e">
        <f t="shared" ca="1" si="3"/>
        <v>#VALUE!</v>
      </c>
    </row>
    <row r="101" spans="1:32" ht="12.75" customHeight="1" outlineLevel="1">
      <c r="A101" s="134"/>
      <c r="B101" s="6"/>
      <c r="C101" s="159">
        <f>Classificacao!F35</f>
        <v>0</v>
      </c>
      <c r="D101" s="151">
        <f ca="1">somaCodigoCartaoCreditoParceladoProximoMes(1,Classificacao!D35)</f>
        <v>0</v>
      </c>
      <c r="E101" s="153">
        <f ca="1">somaCodigoCartaoCredito(1,Classificacao!D35)</f>
        <v>0</v>
      </c>
      <c r="F101" s="151" t="e">
        <f ca="1">somaCodigoCartaoCreditoParceladoProximoMes(2,Classificacao!D35)</f>
        <v>#VALUE!</v>
      </c>
      <c r="G101" s="153" t="e">
        <f ca="1">somaCodigoCartaoCredito(2,Classificacao!D35)</f>
        <v>#VALUE!</v>
      </c>
      <c r="H101" s="151" t="e">
        <f ca="1">somaCodigoCartaoCreditoParceladoProximoMes(3,Classificacao!D35)</f>
        <v>#VALUE!</v>
      </c>
      <c r="I101" s="153" t="e">
        <f ca="1">somaCodigoCartaoCredito(3,Classificacao!D35)</f>
        <v>#VALUE!</v>
      </c>
      <c r="J101" s="151" t="e">
        <f ca="1">somaCodigoCartaoCreditoParceladoProximoMes(4,Classificacao!D35)</f>
        <v>#VALUE!</v>
      </c>
      <c r="K101" s="153" t="e">
        <f ca="1">somaCodigoCartaoCredito(4,Classificacao!D35)</f>
        <v>#VALUE!</v>
      </c>
      <c r="L101" s="151" t="e">
        <f ca="1">somaCodigoCartaoCreditoParceladoProximoMes(5,Classificacao!D35)</f>
        <v>#VALUE!</v>
      </c>
      <c r="M101" s="153" t="e">
        <f ca="1">somaCodigoCartaoCredito(5,Classificacao!D35)</f>
        <v>#VALUE!</v>
      </c>
      <c r="N101" s="151" t="e">
        <f ca="1">somaCodigoCartaoCreditoParceladoProximoMes(6,Classificacao!D35)</f>
        <v>#VALUE!</v>
      </c>
      <c r="O101" s="153" t="e">
        <f ca="1">somaCodigoCartaoCredito(6,Classificacao!D35)</f>
        <v>#VALUE!</v>
      </c>
      <c r="P101" s="151" t="e">
        <f ca="1">somaCodigoCartaoCreditoParceladoProximoMes(7,Classificacao!D35)</f>
        <v>#VALUE!</v>
      </c>
      <c r="Q101" s="153" t="e">
        <f ca="1">somaCodigoCartaoCredito(7,Classificacao!D35)</f>
        <v>#VALUE!</v>
      </c>
      <c r="R101" s="151" t="e">
        <f ca="1">somaCodigoCartaoCreditoParceladoProximoMes(8,Classificacao!D35)</f>
        <v>#VALUE!</v>
      </c>
      <c r="S101" s="153" t="e">
        <f ca="1">somaCodigoCartaoCredito(8,Classificacao!D35)</f>
        <v>#VALUE!</v>
      </c>
      <c r="T101" s="151" t="e">
        <f ca="1">somaCodigoCartaoCreditoParceladoProximoMes(9,Classificacao!D35)</f>
        <v>#VALUE!</v>
      </c>
      <c r="U101" s="153" t="e">
        <f ca="1">somaCodigoCartaoCredito(9,Classificacao!D35)</f>
        <v>#VALUE!</v>
      </c>
      <c r="V101" s="151" t="e">
        <f ca="1">somaCodigoCartaoCreditoParceladoProximoMes(10,Classificacao!D35)</f>
        <v>#VALUE!</v>
      </c>
      <c r="W101" s="153" t="e">
        <f ca="1">somaCodigoCartaoCredito(10,Classificacao!D35)</f>
        <v>#VALUE!</v>
      </c>
      <c r="X101" s="151" t="e">
        <f ca="1">somaCodigoCartaoCreditoParceladoProximoMes(11,Classificacao!D35)</f>
        <v>#VALUE!</v>
      </c>
      <c r="Y101" s="153" t="e">
        <f ca="1">somaCodigoCartaoCredito(11,Classificacao!D35)</f>
        <v>#VALUE!</v>
      </c>
      <c r="Z101" s="151" t="e">
        <f ca="1">somaCodigoCartaoCreditoParceladoProximoMes(12,Classificacao!D35)</f>
        <v>#VALUE!</v>
      </c>
      <c r="AA101" s="153" t="e">
        <f ca="1">somaCodigoCartaoCredito(12,Classificacao!D35)</f>
        <v>#VALUE!</v>
      </c>
      <c r="AB101" s="6"/>
      <c r="AC101" s="134"/>
      <c r="AE101" s="105"/>
      <c r="AF101" s="124" t="e">
        <f t="shared" ca="1" si="3"/>
        <v>#VALUE!</v>
      </c>
    </row>
    <row r="102" spans="1:32" ht="12.75" customHeight="1" outlineLevel="1">
      <c r="A102" s="134"/>
      <c r="B102" s="6"/>
      <c r="C102" s="159" t="str">
        <f>Classificacao!F36</f>
        <v>Condomínio</v>
      </c>
      <c r="D102" s="151">
        <f ca="1">somaCodigoCartaoCreditoParceladoProximoMes(1,Classificacao!D36)</f>
        <v>0</v>
      </c>
      <c r="E102" s="153">
        <f ca="1">somaCodigoCartaoCredito(1,Classificacao!D36)</f>
        <v>0</v>
      </c>
      <c r="F102" s="151" t="e">
        <f ca="1">somaCodigoCartaoCreditoParceladoProximoMes(2,Classificacao!D36)</f>
        <v>#VALUE!</v>
      </c>
      <c r="G102" s="153" t="e">
        <f ca="1">somaCodigoCartaoCredito(2,Classificacao!D36)</f>
        <v>#VALUE!</v>
      </c>
      <c r="H102" s="151" t="e">
        <f ca="1">somaCodigoCartaoCreditoParceladoProximoMes(3,Classificacao!D36)</f>
        <v>#VALUE!</v>
      </c>
      <c r="I102" s="153" t="e">
        <f ca="1">somaCodigoCartaoCredito(3,Classificacao!D36)</f>
        <v>#VALUE!</v>
      </c>
      <c r="J102" s="151" t="e">
        <f ca="1">somaCodigoCartaoCreditoParceladoProximoMes(4,Classificacao!D36)</f>
        <v>#VALUE!</v>
      </c>
      <c r="K102" s="153" t="e">
        <f ca="1">somaCodigoCartaoCredito(4,Classificacao!D36)</f>
        <v>#VALUE!</v>
      </c>
      <c r="L102" s="151" t="e">
        <f ca="1">somaCodigoCartaoCreditoParceladoProximoMes(5,Classificacao!D36)</f>
        <v>#VALUE!</v>
      </c>
      <c r="M102" s="153" t="e">
        <f ca="1">somaCodigoCartaoCredito(5,Classificacao!D36)</f>
        <v>#VALUE!</v>
      </c>
      <c r="N102" s="151" t="e">
        <f ca="1">somaCodigoCartaoCreditoParceladoProximoMes(6,Classificacao!D36)</f>
        <v>#VALUE!</v>
      </c>
      <c r="O102" s="153" t="e">
        <f ca="1">somaCodigoCartaoCredito(6,Classificacao!D36)</f>
        <v>#VALUE!</v>
      </c>
      <c r="P102" s="151" t="e">
        <f ca="1">somaCodigoCartaoCreditoParceladoProximoMes(7,Classificacao!D36)</f>
        <v>#VALUE!</v>
      </c>
      <c r="Q102" s="153" t="e">
        <f ca="1">somaCodigoCartaoCredito(7,Classificacao!D36)</f>
        <v>#VALUE!</v>
      </c>
      <c r="R102" s="151" t="e">
        <f ca="1">somaCodigoCartaoCreditoParceladoProximoMes(8,Classificacao!D36)</f>
        <v>#VALUE!</v>
      </c>
      <c r="S102" s="153" t="e">
        <f ca="1">somaCodigoCartaoCredito(8,Classificacao!D36)</f>
        <v>#VALUE!</v>
      </c>
      <c r="T102" s="151" t="e">
        <f ca="1">somaCodigoCartaoCreditoParceladoProximoMes(9,Classificacao!D36)</f>
        <v>#VALUE!</v>
      </c>
      <c r="U102" s="153" t="e">
        <f ca="1">somaCodigoCartaoCredito(9,Classificacao!D36)</f>
        <v>#VALUE!</v>
      </c>
      <c r="V102" s="151" t="e">
        <f ca="1">somaCodigoCartaoCreditoParceladoProximoMes(10,Classificacao!D36)</f>
        <v>#VALUE!</v>
      </c>
      <c r="W102" s="153" t="e">
        <f ca="1">somaCodigoCartaoCredito(10,Classificacao!D36)</f>
        <v>#VALUE!</v>
      </c>
      <c r="X102" s="151" t="e">
        <f ca="1">somaCodigoCartaoCreditoParceladoProximoMes(11,Classificacao!D36)</f>
        <v>#VALUE!</v>
      </c>
      <c r="Y102" s="153" t="e">
        <f ca="1">somaCodigoCartaoCredito(11,Classificacao!D36)</f>
        <v>#VALUE!</v>
      </c>
      <c r="Z102" s="151" t="e">
        <f ca="1">somaCodigoCartaoCreditoParceladoProximoMes(12,Classificacao!D36)</f>
        <v>#VALUE!</v>
      </c>
      <c r="AA102" s="153" t="e">
        <f ca="1">somaCodigoCartaoCredito(12,Classificacao!D36)</f>
        <v>#VALUE!</v>
      </c>
      <c r="AB102" s="6"/>
      <c r="AC102" s="134"/>
      <c r="AE102" s="105"/>
      <c r="AF102" s="124" t="e">
        <f t="shared" ca="1" si="3"/>
        <v>#VALUE!</v>
      </c>
    </row>
    <row r="103" spans="1:32" ht="12.75" customHeight="1" outlineLevel="1">
      <c r="A103" s="134"/>
      <c r="B103" s="6"/>
      <c r="C103" s="159" t="str">
        <f>Classificacao!F37</f>
        <v>Prestação casa</v>
      </c>
      <c r="D103" s="151">
        <f ca="1">somaCodigoCartaoCreditoParceladoProximoMes(1,Classificacao!D37)</f>
        <v>0</v>
      </c>
      <c r="E103" s="153">
        <f ca="1">somaCodigoCartaoCredito(1,Classificacao!D37)</f>
        <v>0</v>
      </c>
      <c r="F103" s="151" t="e">
        <f ca="1">somaCodigoCartaoCreditoParceladoProximoMes(2,Classificacao!D37)</f>
        <v>#VALUE!</v>
      </c>
      <c r="G103" s="153" t="e">
        <f ca="1">somaCodigoCartaoCredito(2,Classificacao!D37)</f>
        <v>#VALUE!</v>
      </c>
      <c r="H103" s="151" t="e">
        <f ca="1">somaCodigoCartaoCreditoParceladoProximoMes(3,Classificacao!D37)</f>
        <v>#VALUE!</v>
      </c>
      <c r="I103" s="153" t="e">
        <f ca="1">somaCodigoCartaoCredito(3,Classificacao!D37)</f>
        <v>#VALUE!</v>
      </c>
      <c r="J103" s="151" t="e">
        <f ca="1">somaCodigoCartaoCreditoParceladoProximoMes(4,Classificacao!D37)</f>
        <v>#VALUE!</v>
      </c>
      <c r="K103" s="153" t="e">
        <f ca="1">somaCodigoCartaoCredito(4,Classificacao!D37)</f>
        <v>#VALUE!</v>
      </c>
      <c r="L103" s="151" t="e">
        <f ca="1">somaCodigoCartaoCreditoParceladoProximoMes(5,Classificacao!D37)</f>
        <v>#VALUE!</v>
      </c>
      <c r="M103" s="153" t="e">
        <f ca="1">somaCodigoCartaoCredito(5,Classificacao!D37)</f>
        <v>#VALUE!</v>
      </c>
      <c r="N103" s="151" t="e">
        <f ca="1">somaCodigoCartaoCreditoParceladoProximoMes(6,Classificacao!D37)</f>
        <v>#VALUE!</v>
      </c>
      <c r="O103" s="153" t="e">
        <f ca="1">somaCodigoCartaoCredito(6,Classificacao!D37)</f>
        <v>#VALUE!</v>
      </c>
      <c r="P103" s="151" t="e">
        <f ca="1">somaCodigoCartaoCreditoParceladoProximoMes(7,Classificacao!D37)</f>
        <v>#VALUE!</v>
      </c>
      <c r="Q103" s="153" t="e">
        <f ca="1">somaCodigoCartaoCredito(7,Classificacao!D37)</f>
        <v>#VALUE!</v>
      </c>
      <c r="R103" s="151" t="e">
        <f ca="1">somaCodigoCartaoCreditoParceladoProximoMes(8,Classificacao!D37)</f>
        <v>#VALUE!</v>
      </c>
      <c r="S103" s="153" t="e">
        <f ca="1">somaCodigoCartaoCredito(8,Classificacao!D37)</f>
        <v>#VALUE!</v>
      </c>
      <c r="T103" s="151" t="e">
        <f ca="1">somaCodigoCartaoCreditoParceladoProximoMes(9,Classificacao!D37)</f>
        <v>#VALUE!</v>
      </c>
      <c r="U103" s="153" t="e">
        <f ca="1">somaCodigoCartaoCredito(9,Classificacao!D37)</f>
        <v>#VALUE!</v>
      </c>
      <c r="V103" s="151" t="e">
        <f ca="1">somaCodigoCartaoCreditoParceladoProximoMes(10,Classificacao!D37)</f>
        <v>#VALUE!</v>
      </c>
      <c r="W103" s="153" t="e">
        <f ca="1">somaCodigoCartaoCredito(10,Classificacao!D37)</f>
        <v>#VALUE!</v>
      </c>
      <c r="X103" s="151" t="e">
        <f ca="1">somaCodigoCartaoCreditoParceladoProximoMes(11,Classificacao!D37)</f>
        <v>#VALUE!</v>
      </c>
      <c r="Y103" s="153" t="e">
        <f ca="1">somaCodigoCartaoCredito(11,Classificacao!D37)</f>
        <v>#VALUE!</v>
      </c>
      <c r="Z103" s="151" t="e">
        <f ca="1">somaCodigoCartaoCreditoParceladoProximoMes(12,Classificacao!D37)</f>
        <v>#VALUE!</v>
      </c>
      <c r="AA103" s="153" t="e">
        <f ca="1">somaCodigoCartaoCredito(12,Classificacao!D37)</f>
        <v>#VALUE!</v>
      </c>
      <c r="AB103" s="6"/>
      <c r="AC103" s="134"/>
      <c r="AE103" s="105"/>
      <c r="AF103" s="124" t="e">
        <f t="shared" ca="1" si="3"/>
        <v>#VALUE!</v>
      </c>
    </row>
    <row r="104" spans="1:32" ht="12.75" customHeight="1" outlineLevel="1">
      <c r="A104" s="134"/>
      <c r="B104" s="6"/>
      <c r="C104" s="159" t="str">
        <f>Classificacao!F38</f>
        <v>Prestação carro</v>
      </c>
      <c r="D104" s="151">
        <f ca="1">somaCodigoCartaoCreditoParceladoProximoMes(1,Classificacao!D38)</f>
        <v>0</v>
      </c>
      <c r="E104" s="153">
        <f ca="1">somaCodigoCartaoCredito(1,Classificacao!D38)</f>
        <v>0</v>
      </c>
      <c r="F104" s="151" t="e">
        <f ca="1">somaCodigoCartaoCreditoParceladoProximoMes(2,Classificacao!D38)</f>
        <v>#VALUE!</v>
      </c>
      <c r="G104" s="153" t="e">
        <f ca="1">somaCodigoCartaoCredito(2,Classificacao!D38)</f>
        <v>#VALUE!</v>
      </c>
      <c r="H104" s="151" t="e">
        <f ca="1">somaCodigoCartaoCreditoParceladoProximoMes(3,Classificacao!D38)</f>
        <v>#VALUE!</v>
      </c>
      <c r="I104" s="153" t="e">
        <f ca="1">somaCodigoCartaoCredito(3,Classificacao!D38)</f>
        <v>#VALUE!</v>
      </c>
      <c r="J104" s="151" t="e">
        <f ca="1">somaCodigoCartaoCreditoParceladoProximoMes(4,Classificacao!D38)</f>
        <v>#VALUE!</v>
      </c>
      <c r="K104" s="153" t="e">
        <f ca="1">somaCodigoCartaoCredito(4,Classificacao!D38)</f>
        <v>#VALUE!</v>
      </c>
      <c r="L104" s="151" t="e">
        <f ca="1">somaCodigoCartaoCreditoParceladoProximoMes(5,Classificacao!D38)</f>
        <v>#VALUE!</v>
      </c>
      <c r="M104" s="153" t="e">
        <f ca="1">somaCodigoCartaoCredito(5,Classificacao!D38)</f>
        <v>#VALUE!</v>
      </c>
      <c r="N104" s="151" t="e">
        <f ca="1">somaCodigoCartaoCreditoParceladoProximoMes(6,Classificacao!D38)</f>
        <v>#VALUE!</v>
      </c>
      <c r="O104" s="153" t="e">
        <f ca="1">somaCodigoCartaoCredito(6,Classificacao!D38)</f>
        <v>#VALUE!</v>
      </c>
      <c r="P104" s="151" t="e">
        <f ca="1">somaCodigoCartaoCreditoParceladoProximoMes(7,Classificacao!D38)</f>
        <v>#VALUE!</v>
      </c>
      <c r="Q104" s="153" t="e">
        <f ca="1">somaCodigoCartaoCredito(7,Classificacao!D38)</f>
        <v>#VALUE!</v>
      </c>
      <c r="R104" s="151" t="e">
        <f ca="1">somaCodigoCartaoCreditoParceladoProximoMes(8,Classificacao!D38)</f>
        <v>#VALUE!</v>
      </c>
      <c r="S104" s="153" t="e">
        <f ca="1">somaCodigoCartaoCredito(8,Classificacao!D38)</f>
        <v>#VALUE!</v>
      </c>
      <c r="T104" s="151" t="e">
        <f ca="1">somaCodigoCartaoCreditoParceladoProximoMes(9,Classificacao!D38)</f>
        <v>#VALUE!</v>
      </c>
      <c r="U104" s="153" t="e">
        <f ca="1">somaCodigoCartaoCredito(9,Classificacao!D38)</f>
        <v>#VALUE!</v>
      </c>
      <c r="V104" s="151" t="e">
        <f ca="1">somaCodigoCartaoCreditoParceladoProximoMes(10,Classificacao!D38)</f>
        <v>#VALUE!</v>
      </c>
      <c r="W104" s="153" t="e">
        <f ca="1">somaCodigoCartaoCredito(10,Classificacao!D38)</f>
        <v>#VALUE!</v>
      </c>
      <c r="X104" s="151" t="e">
        <f ca="1">somaCodigoCartaoCreditoParceladoProximoMes(11,Classificacao!D38)</f>
        <v>#VALUE!</v>
      </c>
      <c r="Y104" s="153" t="e">
        <f ca="1">somaCodigoCartaoCredito(11,Classificacao!D38)</f>
        <v>#VALUE!</v>
      </c>
      <c r="Z104" s="151" t="e">
        <f ca="1">somaCodigoCartaoCreditoParceladoProximoMes(12,Classificacao!D38)</f>
        <v>#VALUE!</v>
      </c>
      <c r="AA104" s="153" t="e">
        <f ca="1">somaCodigoCartaoCredito(12,Classificacao!D38)</f>
        <v>#VALUE!</v>
      </c>
      <c r="AB104" s="6"/>
      <c r="AC104" s="134"/>
      <c r="AE104" s="105"/>
      <c r="AF104" s="124" t="e">
        <f t="shared" ca="1" si="3"/>
        <v>#VALUE!</v>
      </c>
    </row>
    <row r="105" spans="1:32" ht="12.75" customHeight="1" outlineLevel="1">
      <c r="A105" s="134"/>
      <c r="B105" s="6"/>
      <c r="C105" s="159" t="str">
        <f>Classificacao!F39</f>
        <v>IPTU</v>
      </c>
      <c r="D105" s="151">
        <f ca="1">somaCodigoCartaoCreditoParceladoProximoMes(1,Classificacao!D39)</f>
        <v>0</v>
      </c>
      <c r="E105" s="153">
        <f ca="1">somaCodigoCartaoCredito(1,Classificacao!D39)</f>
        <v>0</v>
      </c>
      <c r="F105" s="151" t="e">
        <f ca="1">somaCodigoCartaoCreditoParceladoProximoMes(2,Classificacao!D39)</f>
        <v>#VALUE!</v>
      </c>
      <c r="G105" s="153" t="e">
        <f ca="1">somaCodigoCartaoCredito(2,Classificacao!D39)</f>
        <v>#VALUE!</v>
      </c>
      <c r="H105" s="151" t="e">
        <f ca="1">somaCodigoCartaoCreditoParceladoProximoMes(3,Classificacao!D39)</f>
        <v>#VALUE!</v>
      </c>
      <c r="I105" s="153" t="e">
        <f ca="1">somaCodigoCartaoCredito(3,Classificacao!D39)</f>
        <v>#VALUE!</v>
      </c>
      <c r="J105" s="151" t="e">
        <f ca="1">somaCodigoCartaoCreditoParceladoProximoMes(4,Classificacao!D39)</f>
        <v>#VALUE!</v>
      </c>
      <c r="K105" s="153" t="e">
        <f ca="1">somaCodigoCartaoCredito(4,Classificacao!D39)</f>
        <v>#VALUE!</v>
      </c>
      <c r="L105" s="151" t="e">
        <f ca="1">somaCodigoCartaoCreditoParceladoProximoMes(5,Classificacao!D39)</f>
        <v>#VALUE!</v>
      </c>
      <c r="M105" s="153" t="e">
        <f ca="1">somaCodigoCartaoCredito(5,Classificacao!D39)</f>
        <v>#VALUE!</v>
      </c>
      <c r="N105" s="151" t="e">
        <f ca="1">somaCodigoCartaoCreditoParceladoProximoMes(6,Classificacao!D39)</f>
        <v>#VALUE!</v>
      </c>
      <c r="O105" s="153" t="e">
        <f ca="1">somaCodigoCartaoCredito(6,Classificacao!D39)</f>
        <v>#VALUE!</v>
      </c>
      <c r="P105" s="151" t="e">
        <f ca="1">somaCodigoCartaoCreditoParceladoProximoMes(7,Classificacao!D39)</f>
        <v>#VALUE!</v>
      </c>
      <c r="Q105" s="153" t="e">
        <f ca="1">somaCodigoCartaoCredito(7,Classificacao!D39)</f>
        <v>#VALUE!</v>
      </c>
      <c r="R105" s="151" t="e">
        <f ca="1">somaCodigoCartaoCreditoParceladoProximoMes(8,Classificacao!D39)</f>
        <v>#VALUE!</v>
      </c>
      <c r="S105" s="153" t="e">
        <f ca="1">somaCodigoCartaoCredito(8,Classificacao!D39)</f>
        <v>#VALUE!</v>
      </c>
      <c r="T105" s="151" t="e">
        <f ca="1">somaCodigoCartaoCreditoParceladoProximoMes(9,Classificacao!D39)</f>
        <v>#VALUE!</v>
      </c>
      <c r="U105" s="153" t="e">
        <f ca="1">somaCodigoCartaoCredito(9,Classificacao!D39)</f>
        <v>#VALUE!</v>
      </c>
      <c r="V105" s="151" t="e">
        <f ca="1">somaCodigoCartaoCreditoParceladoProximoMes(10,Classificacao!D39)</f>
        <v>#VALUE!</v>
      </c>
      <c r="W105" s="153" t="e">
        <f ca="1">somaCodigoCartaoCredito(10,Classificacao!D39)</f>
        <v>#VALUE!</v>
      </c>
      <c r="X105" s="151" t="e">
        <f ca="1">somaCodigoCartaoCreditoParceladoProximoMes(11,Classificacao!D39)</f>
        <v>#VALUE!</v>
      </c>
      <c r="Y105" s="153" t="e">
        <f ca="1">somaCodigoCartaoCredito(11,Classificacao!D39)</f>
        <v>#VALUE!</v>
      </c>
      <c r="Z105" s="151" t="e">
        <f ca="1">somaCodigoCartaoCreditoParceladoProximoMes(12,Classificacao!D39)</f>
        <v>#VALUE!</v>
      </c>
      <c r="AA105" s="153" t="e">
        <f ca="1">somaCodigoCartaoCredito(12,Classificacao!D39)</f>
        <v>#VALUE!</v>
      </c>
      <c r="AB105" s="6"/>
      <c r="AC105" s="134"/>
      <c r="AE105" s="105"/>
      <c r="AF105" s="124" t="e">
        <f t="shared" ca="1" si="3"/>
        <v>#VALUE!</v>
      </c>
    </row>
    <row r="106" spans="1:32" ht="12.75" customHeight="1" outlineLevel="1">
      <c r="A106" s="134"/>
      <c r="B106" s="6"/>
      <c r="C106" s="159" t="str">
        <f>Classificacao!F40</f>
        <v>IPVA</v>
      </c>
      <c r="D106" s="151">
        <f ca="1">somaCodigoCartaoCreditoParceladoProximoMes(1,Classificacao!D40)</f>
        <v>0</v>
      </c>
      <c r="E106" s="153">
        <f ca="1">somaCodigoCartaoCredito(1,Classificacao!D40)</f>
        <v>0</v>
      </c>
      <c r="F106" s="151" t="e">
        <f ca="1">somaCodigoCartaoCreditoParceladoProximoMes(2,Classificacao!D40)</f>
        <v>#VALUE!</v>
      </c>
      <c r="G106" s="153" t="e">
        <f ca="1">somaCodigoCartaoCredito(2,Classificacao!D40)</f>
        <v>#VALUE!</v>
      </c>
      <c r="H106" s="151" t="e">
        <f ca="1">somaCodigoCartaoCreditoParceladoProximoMes(3,Classificacao!D40)</f>
        <v>#VALUE!</v>
      </c>
      <c r="I106" s="153" t="e">
        <f ca="1">somaCodigoCartaoCredito(3,Classificacao!D40)</f>
        <v>#VALUE!</v>
      </c>
      <c r="J106" s="151" t="e">
        <f ca="1">somaCodigoCartaoCreditoParceladoProximoMes(4,Classificacao!D40)</f>
        <v>#VALUE!</v>
      </c>
      <c r="K106" s="153" t="e">
        <f ca="1">somaCodigoCartaoCredito(4,Classificacao!D40)</f>
        <v>#VALUE!</v>
      </c>
      <c r="L106" s="151" t="e">
        <f ca="1">somaCodigoCartaoCreditoParceladoProximoMes(5,Classificacao!D40)</f>
        <v>#VALUE!</v>
      </c>
      <c r="M106" s="153" t="e">
        <f ca="1">somaCodigoCartaoCredito(5,Classificacao!D40)</f>
        <v>#VALUE!</v>
      </c>
      <c r="N106" s="151" t="e">
        <f ca="1">somaCodigoCartaoCreditoParceladoProximoMes(6,Classificacao!D40)</f>
        <v>#VALUE!</v>
      </c>
      <c r="O106" s="153" t="e">
        <f ca="1">somaCodigoCartaoCredito(6,Classificacao!D40)</f>
        <v>#VALUE!</v>
      </c>
      <c r="P106" s="151" t="e">
        <f ca="1">somaCodigoCartaoCreditoParceladoProximoMes(7,Classificacao!D40)</f>
        <v>#VALUE!</v>
      </c>
      <c r="Q106" s="153" t="e">
        <f ca="1">somaCodigoCartaoCredito(7,Classificacao!D40)</f>
        <v>#VALUE!</v>
      </c>
      <c r="R106" s="151" t="e">
        <f ca="1">somaCodigoCartaoCreditoParceladoProximoMes(8,Classificacao!D40)</f>
        <v>#VALUE!</v>
      </c>
      <c r="S106" s="153" t="e">
        <f ca="1">somaCodigoCartaoCredito(8,Classificacao!D40)</f>
        <v>#VALUE!</v>
      </c>
      <c r="T106" s="151" t="e">
        <f ca="1">somaCodigoCartaoCreditoParceladoProximoMes(9,Classificacao!D40)</f>
        <v>#VALUE!</v>
      </c>
      <c r="U106" s="153" t="e">
        <f ca="1">somaCodigoCartaoCredito(9,Classificacao!D40)</f>
        <v>#VALUE!</v>
      </c>
      <c r="V106" s="151" t="e">
        <f ca="1">somaCodigoCartaoCreditoParceladoProximoMes(10,Classificacao!D40)</f>
        <v>#VALUE!</v>
      </c>
      <c r="W106" s="153" t="e">
        <f ca="1">somaCodigoCartaoCredito(10,Classificacao!D40)</f>
        <v>#VALUE!</v>
      </c>
      <c r="X106" s="151" t="e">
        <f ca="1">somaCodigoCartaoCreditoParceladoProximoMes(11,Classificacao!D40)</f>
        <v>#VALUE!</v>
      </c>
      <c r="Y106" s="153" t="e">
        <f ca="1">somaCodigoCartaoCredito(11,Classificacao!D40)</f>
        <v>#VALUE!</v>
      </c>
      <c r="Z106" s="151" t="e">
        <f ca="1">somaCodigoCartaoCreditoParceladoProximoMes(12,Classificacao!D40)</f>
        <v>#VALUE!</v>
      </c>
      <c r="AA106" s="153" t="e">
        <f ca="1">somaCodigoCartaoCredito(12,Classificacao!D40)</f>
        <v>#VALUE!</v>
      </c>
      <c r="AB106" s="6"/>
      <c r="AC106" s="134"/>
      <c r="AE106" s="105"/>
      <c r="AF106" s="124" t="e">
        <f t="shared" ca="1" si="3"/>
        <v>#VALUE!</v>
      </c>
    </row>
    <row r="107" spans="1:32" ht="12.75" customHeight="1" outlineLevel="1">
      <c r="A107" s="134"/>
      <c r="B107" s="6"/>
      <c r="C107" s="159">
        <f>Classificacao!F41</f>
        <v>0</v>
      </c>
      <c r="D107" s="151">
        <f ca="1">somaCodigoCartaoCreditoParceladoProximoMes(1,Classificacao!D41)</f>
        <v>0</v>
      </c>
      <c r="E107" s="153">
        <f ca="1">somaCodigoCartaoCredito(1,Classificacao!D41)</f>
        <v>0</v>
      </c>
      <c r="F107" s="151" t="e">
        <f ca="1">somaCodigoCartaoCreditoParceladoProximoMes(2,Classificacao!D41)</f>
        <v>#VALUE!</v>
      </c>
      <c r="G107" s="153" t="e">
        <f ca="1">somaCodigoCartaoCredito(2,Classificacao!D41)</f>
        <v>#VALUE!</v>
      </c>
      <c r="H107" s="151" t="e">
        <f ca="1">somaCodigoCartaoCreditoParceladoProximoMes(3,Classificacao!D41)</f>
        <v>#VALUE!</v>
      </c>
      <c r="I107" s="153" t="e">
        <f ca="1">somaCodigoCartaoCredito(3,Classificacao!D41)</f>
        <v>#VALUE!</v>
      </c>
      <c r="J107" s="151" t="e">
        <f ca="1">somaCodigoCartaoCreditoParceladoProximoMes(4,Classificacao!D41)</f>
        <v>#VALUE!</v>
      </c>
      <c r="K107" s="153" t="e">
        <f ca="1">somaCodigoCartaoCredito(4,Classificacao!D41)</f>
        <v>#VALUE!</v>
      </c>
      <c r="L107" s="151" t="e">
        <f ca="1">somaCodigoCartaoCreditoParceladoProximoMes(5,Classificacao!D41)</f>
        <v>#VALUE!</v>
      </c>
      <c r="M107" s="153" t="e">
        <f ca="1">somaCodigoCartaoCredito(5,Classificacao!D41)</f>
        <v>#VALUE!</v>
      </c>
      <c r="N107" s="151" t="e">
        <f ca="1">somaCodigoCartaoCreditoParceladoProximoMes(6,Classificacao!D41)</f>
        <v>#VALUE!</v>
      </c>
      <c r="O107" s="153" t="e">
        <f ca="1">somaCodigoCartaoCredito(6,Classificacao!D41)</f>
        <v>#VALUE!</v>
      </c>
      <c r="P107" s="151" t="e">
        <f ca="1">somaCodigoCartaoCreditoParceladoProximoMes(7,Classificacao!D41)</f>
        <v>#VALUE!</v>
      </c>
      <c r="Q107" s="153" t="e">
        <f ca="1">somaCodigoCartaoCredito(7,Classificacao!D41)</f>
        <v>#VALUE!</v>
      </c>
      <c r="R107" s="151" t="e">
        <f ca="1">somaCodigoCartaoCreditoParceladoProximoMes(8,Classificacao!D41)</f>
        <v>#VALUE!</v>
      </c>
      <c r="S107" s="153" t="e">
        <f ca="1">somaCodigoCartaoCredito(8,Classificacao!D41)</f>
        <v>#VALUE!</v>
      </c>
      <c r="T107" s="151" t="e">
        <f ca="1">somaCodigoCartaoCreditoParceladoProximoMes(9,Classificacao!D41)</f>
        <v>#VALUE!</v>
      </c>
      <c r="U107" s="153" t="e">
        <f ca="1">somaCodigoCartaoCredito(9,Classificacao!D41)</f>
        <v>#VALUE!</v>
      </c>
      <c r="V107" s="151" t="e">
        <f ca="1">somaCodigoCartaoCreditoParceladoProximoMes(10,Classificacao!D41)</f>
        <v>#VALUE!</v>
      </c>
      <c r="W107" s="153" t="e">
        <f ca="1">somaCodigoCartaoCredito(10,Classificacao!D41)</f>
        <v>#VALUE!</v>
      </c>
      <c r="X107" s="151" t="e">
        <f ca="1">somaCodigoCartaoCreditoParceladoProximoMes(11,Classificacao!D41)</f>
        <v>#VALUE!</v>
      </c>
      <c r="Y107" s="153" t="e">
        <f ca="1">somaCodigoCartaoCredito(11,Classificacao!D41)</f>
        <v>#VALUE!</v>
      </c>
      <c r="Z107" s="151" t="e">
        <f ca="1">somaCodigoCartaoCreditoParceladoProximoMes(12,Classificacao!D41)</f>
        <v>#VALUE!</v>
      </c>
      <c r="AA107" s="153" t="e">
        <f ca="1">somaCodigoCartaoCredito(12,Classificacao!D41)</f>
        <v>#VALUE!</v>
      </c>
      <c r="AB107" s="6"/>
      <c r="AC107" s="134"/>
      <c r="AE107" s="105"/>
      <c r="AF107" s="124" t="e">
        <f t="shared" ca="1" si="3"/>
        <v>#VALUE!</v>
      </c>
    </row>
    <row r="108" spans="1:32" ht="12.75" customHeight="1" outlineLevel="1">
      <c r="A108" s="134"/>
      <c r="B108" s="6"/>
      <c r="C108" s="159">
        <f>Classificacao!F42</f>
        <v>0</v>
      </c>
      <c r="D108" s="151">
        <f ca="1">somaCodigoCartaoCreditoParceladoProximoMes(1,Classificacao!D42)</f>
        <v>0</v>
      </c>
      <c r="E108" s="153">
        <f ca="1">somaCodigoCartaoCredito(1,Classificacao!D42)</f>
        <v>0</v>
      </c>
      <c r="F108" s="151" t="e">
        <f ca="1">somaCodigoCartaoCreditoParceladoProximoMes(2,Classificacao!D42)</f>
        <v>#VALUE!</v>
      </c>
      <c r="G108" s="153" t="e">
        <f ca="1">somaCodigoCartaoCredito(2,Classificacao!D42)</f>
        <v>#VALUE!</v>
      </c>
      <c r="H108" s="151" t="e">
        <f ca="1">somaCodigoCartaoCreditoParceladoProximoMes(3,Classificacao!D42)</f>
        <v>#VALUE!</v>
      </c>
      <c r="I108" s="153" t="e">
        <f ca="1">somaCodigoCartaoCredito(3,Classificacao!D42)</f>
        <v>#VALUE!</v>
      </c>
      <c r="J108" s="151" t="e">
        <f ca="1">somaCodigoCartaoCreditoParceladoProximoMes(4,Classificacao!D42)</f>
        <v>#VALUE!</v>
      </c>
      <c r="K108" s="153" t="e">
        <f ca="1">somaCodigoCartaoCredito(4,Classificacao!D42)</f>
        <v>#VALUE!</v>
      </c>
      <c r="L108" s="151" t="e">
        <f ca="1">somaCodigoCartaoCreditoParceladoProximoMes(5,Classificacao!D42)</f>
        <v>#VALUE!</v>
      </c>
      <c r="M108" s="153" t="e">
        <f ca="1">somaCodigoCartaoCredito(5,Classificacao!D42)</f>
        <v>#VALUE!</v>
      </c>
      <c r="N108" s="151" t="e">
        <f ca="1">somaCodigoCartaoCreditoParceladoProximoMes(6,Classificacao!D42)</f>
        <v>#VALUE!</v>
      </c>
      <c r="O108" s="153" t="e">
        <f ca="1">somaCodigoCartaoCredito(6,Classificacao!D42)</f>
        <v>#VALUE!</v>
      </c>
      <c r="P108" s="151" t="e">
        <f ca="1">somaCodigoCartaoCreditoParceladoProximoMes(7,Classificacao!D42)</f>
        <v>#VALUE!</v>
      </c>
      <c r="Q108" s="153" t="e">
        <f ca="1">somaCodigoCartaoCredito(7,Classificacao!D42)</f>
        <v>#VALUE!</v>
      </c>
      <c r="R108" s="151" t="e">
        <f ca="1">somaCodigoCartaoCreditoParceladoProximoMes(8,Classificacao!D42)</f>
        <v>#VALUE!</v>
      </c>
      <c r="S108" s="153" t="e">
        <f ca="1">somaCodigoCartaoCredito(8,Classificacao!D42)</f>
        <v>#VALUE!</v>
      </c>
      <c r="T108" s="151" t="e">
        <f ca="1">somaCodigoCartaoCreditoParceladoProximoMes(9,Classificacao!D42)</f>
        <v>#VALUE!</v>
      </c>
      <c r="U108" s="153" t="e">
        <f ca="1">somaCodigoCartaoCredito(9,Classificacao!D42)</f>
        <v>#VALUE!</v>
      </c>
      <c r="V108" s="151" t="e">
        <f ca="1">somaCodigoCartaoCreditoParceladoProximoMes(10,Classificacao!D42)</f>
        <v>#VALUE!</v>
      </c>
      <c r="W108" s="153" t="e">
        <f ca="1">somaCodigoCartaoCredito(10,Classificacao!D42)</f>
        <v>#VALUE!</v>
      </c>
      <c r="X108" s="151" t="e">
        <f ca="1">somaCodigoCartaoCreditoParceladoProximoMes(11,Classificacao!D42)</f>
        <v>#VALUE!</v>
      </c>
      <c r="Y108" s="153" t="e">
        <f ca="1">somaCodigoCartaoCredito(11,Classificacao!D42)</f>
        <v>#VALUE!</v>
      </c>
      <c r="Z108" s="151" t="e">
        <f ca="1">somaCodigoCartaoCreditoParceladoProximoMes(12,Classificacao!D42)</f>
        <v>#VALUE!</v>
      </c>
      <c r="AA108" s="153" t="e">
        <f ca="1">somaCodigoCartaoCredito(12,Classificacao!D42)</f>
        <v>#VALUE!</v>
      </c>
      <c r="AB108" s="6"/>
      <c r="AC108" s="134"/>
      <c r="AE108" s="105"/>
      <c r="AF108" s="124" t="e">
        <f t="shared" ca="1" si="3"/>
        <v>#VALUE!</v>
      </c>
    </row>
    <row r="109" spans="1:32" ht="12.75" customHeight="1" outlineLevel="1">
      <c r="A109" s="134"/>
      <c r="B109" s="6"/>
      <c r="C109" s="159">
        <f>Classificacao!F43</f>
        <v>0</v>
      </c>
      <c r="D109" s="151">
        <f ca="1">somaCodigoCartaoCreditoParceladoProximoMes(1,Classificacao!D43)</f>
        <v>0</v>
      </c>
      <c r="E109" s="153">
        <f ca="1">somaCodigoCartaoCredito(1,Classificacao!D43)</f>
        <v>0</v>
      </c>
      <c r="F109" s="151" t="e">
        <f ca="1">somaCodigoCartaoCreditoParceladoProximoMes(2,Classificacao!D43)</f>
        <v>#VALUE!</v>
      </c>
      <c r="G109" s="153" t="e">
        <f ca="1">somaCodigoCartaoCredito(2,Classificacao!D43)</f>
        <v>#VALUE!</v>
      </c>
      <c r="H109" s="151" t="e">
        <f ca="1">somaCodigoCartaoCreditoParceladoProximoMes(3,Classificacao!D43)</f>
        <v>#VALUE!</v>
      </c>
      <c r="I109" s="153" t="e">
        <f ca="1">somaCodigoCartaoCredito(3,Classificacao!D43)</f>
        <v>#VALUE!</v>
      </c>
      <c r="J109" s="151" t="e">
        <f ca="1">somaCodigoCartaoCreditoParceladoProximoMes(4,Classificacao!D43)</f>
        <v>#VALUE!</v>
      </c>
      <c r="K109" s="153" t="e">
        <f ca="1">somaCodigoCartaoCredito(4,Classificacao!D43)</f>
        <v>#VALUE!</v>
      </c>
      <c r="L109" s="151" t="e">
        <f ca="1">somaCodigoCartaoCreditoParceladoProximoMes(5,Classificacao!D43)</f>
        <v>#VALUE!</v>
      </c>
      <c r="M109" s="153" t="e">
        <f ca="1">somaCodigoCartaoCredito(5,Classificacao!D43)</f>
        <v>#VALUE!</v>
      </c>
      <c r="N109" s="151" t="e">
        <f ca="1">somaCodigoCartaoCreditoParceladoProximoMes(6,Classificacao!D43)</f>
        <v>#VALUE!</v>
      </c>
      <c r="O109" s="153" t="e">
        <f ca="1">somaCodigoCartaoCredito(6,Classificacao!D43)</f>
        <v>#VALUE!</v>
      </c>
      <c r="P109" s="151" t="e">
        <f ca="1">somaCodigoCartaoCreditoParceladoProximoMes(7,Classificacao!D43)</f>
        <v>#VALUE!</v>
      </c>
      <c r="Q109" s="153" t="e">
        <f ca="1">somaCodigoCartaoCredito(7,Classificacao!D43)</f>
        <v>#VALUE!</v>
      </c>
      <c r="R109" s="151" t="e">
        <f ca="1">somaCodigoCartaoCreditoParceladoProximoMes(8,Classificacao!D43)</f>
        <v>#VALUE!</v>
      </c>
      <c r="S109" s="153" t="e">
        <f ca="1">somaCodigoCartaoCredito(8,Classificacao!D43)</f>
        <v>#VALUE!</v>
      </c>
      <c r="T109" s="151" t="e">
        <f ca="1">somaCodigoCartaoCreditoParceladoProximoMes(9,Classificacao!D43)</f>
        <v>#VALUE!</v>
      </c>
      <c r="U109" s="153" t="e">
        <f ca="1">somaCodigoCartaoCredito(9,Classificacao!D43)</f>
        <v>#VALUE!</v>
      </c>
      <c r="V109" s="151" t="e">
        <f ca="1">somaCodigoCartaoCreditoParceladoProximoMes(10,Classificacao!D43)</f>
        <v>#VALUE!</v>
      </c>
      <c r="W109" s="153" t="e">
        <f ca="1">somaCodigoCartaoCredito(10,Classificacao!D43)</f>
        <v>#VALUE!</v>
      </c>
      <c r="X109" s="151" t="e">
        <f ca="1">somaCodigoCartaoCreditoParceladoProximoMes(11,Classificacao!D43)</f>
        <v>#VALUE!</v>
      </c>
      <c r="Y109" s="153" t="e">
        <f ca="1">somaCodigoCartaoCredito(11,Classificacao!D43)</f>
        <v>#VALUE!</v>
      </c>
      <c r="Z109" s="151" t="e">
        <f ca="1">somaCodigoCartaoCreditoParceladoProximoMes(12,Classificacao!D43)</f>
        <v>#VALUE!</v>
      </c>
      <c r="AA109" s="153" t="e">
        <f ca="1">somaCodigoCartaoCredito(12,Classificacao!D43)</f>
        <v>#VALUE!</v>
      </c>
      <c r="AB109" s="6"/>
      <c r="AC109" s="134"/>
      <c r="AE109" s="105"/>
      <c r="AF109" s="124" t="e">
        <f t="shared" ca="1" si="3"/>
        <v>#VALUE!</v>
      </c>
    </row>
    <row r="110" spans="1:32" ht="12.75" customHeight="1" outlineLevel="1">
      <c r="A110" s="134"/>
      <c r="B110" s="6"/>
      <c r="C110" s="159">
        <f>Classificacao!F44</f>
        <v>0</v>
      </c>
      <c r="D110" s="151">
        <f ca="1">somaCodigoCartaoCreditoParceladoProximoMes(1,Classificacao!D44)</f>
        <v>0</v>
      </c>
      <c r="E110" s="153">
        <f ca="1">somaCodigoCartaoCredito(1,Classificacao!D44)</f>
        <v>0</v>
      </c>
      <c r="F110" s="151" t="e">
        <f ca="1">somaCodigoCartaoCreditoParceladoProximoMes(2,Classificacao!D44)</f>
        <v>#VALUE!</v>
      </c>
      <c r="G110" s="153" t="e">
        <f ca="1">somaCodigoCartaoCredito(2,Classificacao!D44)</f>
        <v>#VALUE!</v>
      </c>
      <c r="H110" s="151" t="e">
        <f ca="1">somaCodigoCartaoCreditoParceladoProximoMes(3,Classificacao!D44)</f>
        <v>#VALUE!</v>
      </c>
      <c r="I110" s="153" t="e">
        <f ca="1">somaCodigoCartaoCredito(3,Classificacao!D44)</f>
        <v>#VALUE!</v>
      </c>
      <c r="J110" s="151" t="e">
        <f ca="1">somaCodigoCartaoCreditoParceladoProximoMes(4,Classificacao!D44)</f>
        <v>#VALUE!</v>
      </c>
      <c r="K110" s="153" t="e">
        <f ca="1">somaCodigoCartaoCredito(4,Classificacao!D44)</f>
        <v>#VALUE!</v>
      </c>
      <c r="L110" s="151" t="e">
        <f ca="1">somaCodigoCartaoCreditoParceladoProximoMes(5,Classificacao!D44)</f>
        <v>#VALUE!</v>
      </c>
      <c r="M110" s="153" t="e">
        <f ca="1">somaCodigoCartaoCredito(5,Classificacao!D44)</f>
        <v>#VALUE!</v>
      </c>
      <c r="N110" s="151" t="e">
        <f ca="1">somaCodigoCartaoCreditoParceladoProximoMes(6,Classificacao!D44)</f>
        <v>#VALUE!</v>
      </c>
      <c r="O110" s="153" t="e">
        <f ca="1">somaCodigoCartaoCredito(6,Classificacao!D44)</f>
        <v>#VALUE!</v>
      </c>
      <c r="P110" s="151" t="e">
        <f ca="1">somaCodigoCartaoCreditoParceladoProximoMes(7,Classificacao!D44)</f>
        <v>#VALUE!</v>
      </c>
      <c r="Q110" s="153" t="e">
        <f ca="1">somaCodigoCartaoCredito(7,Classificacao!D44)</f>
        <v>#VALUE!</v>
      </c>
      <c r="R110" s="151" t="e">
        <f ca="1">somaCodigoCartaoCreditoParceladoProximoMes(8,Classificacao!D44)</f>
        <v>#VALUE!</v>
      </c>
      <c r="S110" s="153" t="e">
        <f ca="1">somaCodigoCartaoCredito(8,Classificacao!D44)</f>
        <v>#VALUE!</v>
      </c>
      <c r="T110" s="151" t="e">
        <f ca="1">somaCodigoCartaoCreditoParceladoProximoMes(9,Classificacao!D44)</f>
        <v>#VALUE!</v>
      </c>
      <c r="U110" s="153" t="e">
        <f ca="1">somaCodigoCartaoCredito(9,Classificacao!D44)</f>
        <v>#VALUE!</v>
      </c>
      <c r="V110" s="151" t="e">
        <f ca="1">somaCodigoCartaoCreditoParceladoProximoMes(10,Classificacao!D44)</f>
        <v>#VALUE!</v>
      </c>
      <c r="W110" s="153" t="e">
        <f ca="1">somaCodigoCartaoCredito(10,Classificacao!D44)</f>
        <v>#VALUE!</v>
      </c>
      <c r="X110" s="151" t="e">
        <f ca="1">somaCodigoCartaoCreditoParceladoProximoMes(11,Classificacao!D44)</f>
        <v>#VALUE!</v>
      </c>
      <c r="Y110" s="153" t="e">
        <f ca="1">somaCodigoCartaoCredito(11,Classificacao!D44)</f>
        <v>#VALUE!</v>
      </c>
      <c r="Z110" s="151" t="e">
        <f ca="1">somaCodigoCartaoCreditoParceladoProximoMes(12,Classificacao!D44)</f>
        <v>#VALUE!</v>
      </c>
      <c r="AA110" s="153" t="e">
        <f ca="1">somaCodigoCartaoCredito(12,Classificacao!D44)</f>
        <v>#VALUE!</v>
      </c>
      <c r="AB110" s="6"/>
      <c r="AC110" s="134"/>
      <c r="AE110" s="105"/>
      <c r="AF110" s="124" t="e">
        <f t="shared" ca="1" si="3"/>
        <v>#VALUE!</v>
      </c>
    </row>
    <row r="111" spans="1:32" ht="12.75" customHeight="1" outlineLevel="1">
      <c r="A111" s="134"/>
      <c r="B111" s="6"/>
      <c r="C111" s="159">
        <f>Classificacao!F45</f>
        <v>0</v>
      </c>
      <c r="D111" s="151">
        <f ca="1">somaCodigoCartaoCreditoParceladoProximoMes(1,Classificacao!D45)</f>
        <v>0</v>
      </c>
      <c r="E111" s="153">
        <f ca="1">somaCodigoCartaoCredito(1,Classificacao!D45)</f>
        <v>0</v>
      </c>
      <c r="F111" s="151" t="e">
        <f ca="1">somaCodigoCartaoCreditoParceladoProximoMes(2,Classificacao!D45)</f>
        <v>#VALUE!</v>
      </c>
      <c r="G111" s="153" t="e">
        <f ca="1">somaCodigoCartaoCredito(2,Classificacao!D45)</f>
        <v>#VALUE!</v>
      </c>
      <c r="H111" s="151" t="e">
        <f ca="1">somaCodigoCartaoCreditoParceladoProximoMes(3,Classificacao!D45)</f>
        <v>#VALUE!</v>
      </c>
      <c r="I111" s="153" t="e">
        <f ca="1">somaCodigoCartaoCredito(3,Classificacao!D45)</f>
        <v>#VALUE!</v>
      </c>
      <c r="J111" s="151" t="e">
        <f ca="1">somaCodigoCartaoCreditoParceladoProximoMes(4,Classificacao!D45)</f>
        <v>#VALUE!</v>
      </c>
      <c r="K111" s="153" t="e">
        <f ca="1">somaCodigoCartaoCredito(4,Classificacao!D45)</f>
        <v>#VALUE!</v>
      </c>
      <c r="L111" s="151" t="e">
        <f ca="1">somaCodigoCartaoCreditoParceladoProximoMes(5,Classificacao!D45)</f>
        <v>#VALUE!</v>
      </c>
      <c r="M111" s="153" t="e">
        <f ca="1">somaCodigoCartaoCredito(5,Classificacao!D45)</f>
        <v>#VALUE!</v>
      </c>
      <c r="N111" s="151" t="e">
        <f ca="1">somaCodigoCartaoCreditoParceladoProximoMes(6,Classificacao!D45)</f>
        <v>#VALUE!</v>
      </c>
      <c r="O111" s="153" t="e">
        <f ca="1">somaCodigoCartaoCredito(6,Classificacao!D45)</f>
        <v>#VALUE!</v>
      </c>
      <c r="P111" s="151" t="e">
        <f ca="1">somaCodigoCartaoCreditoParceladoProximoMes(7,Classificacao!D45)</f>
        <v>#VALUE!</v>
      </c>
      <c r="Q111" s="153" t="e">
        <f ca="1">somaCodigoCartaoCredito(7,Classificacao!D45)</f>
        <v>#VALUE!</v>
      </c>
      <c r="R111" s="151" t="e">
        <f ca="1">somaCodigoCartaoCreditoParceladoProximoMes(8,Classificacao!D45)</f>
        <v>#VALUE!</v>
      </c>
      <c r="S111" s="153" t="e">
        <f ca="1">somaCodigoCartaoCredito(8,Classificacao!D45)</f>
        <v>#VALUE!</v>
      </c>
      <c r="T111" s="151" t="e">
        <f ca="1">somaCodigoCartaoCreditoParceladoProximoMes(9,Classificacao!D45)</f>
        <v>#VALUE!</v>
      </c>
      <c r="U111" s="153" t="e">
        <f ca="1">somaCodigoCartaoCredito(9,Classificacao!D45)</f>
        <v>#VALUE!</v>
      </c>
      <c r="V111" s="151" t="e">
        <f ca="1">somaCodigoCartaoCreditoParceladoProximoMes(10,Classificacao!D45)</f>
        <v>#VALUE!</v>
      </c>
      <c r="W111" s="153" t="e">
        <f ca="1">somaCodigoCartaoCredito(10,Classificacao!D45)</f>
        <v>#VALUE!</v>
      </c>
      <c r="X111" s="151" t="e">
        <f ca="1">somaCodigoCartaoCreditoParceladoProximoMes(11,Classificacao!D45)</f>
        <v>#VALUE!</v>
      </c>
      <c r="Y111" s="153" t="e">
        <f ca="1">somaCodigoCartaoCredito(11,Classificacao!D45)</f>
        <v>#VALUE!</v>
      </c>
      <c r="Z111" s="151" t="e">
        <f ca="1">somaCodigoCartaoCreditoParceladoProximoMes(12,Classificacao!D45)</f>
        <v>#VALUE!</v>
      </c>
      <c r="AA111" s="153" t="e">
        <f ca="1">somaCodigoCartaoCredito(12,Classificacao!D45)</f>
        <v>#VALUE!</v>
      </c>
      <c r="AB111" s="6"/>
      <c r="AC111" s="134"/>
      <c r="AE111" s="105"/>
      <c r="AF111" s="124" t="e">
        <f t="shared" ca="1" si="3"/>
        <v>#VALUE!</v>
      </c>
    </row>
    <row r="112" spans="1:32" ht="12.75" customHeight="1" outlineLevel="1">
      <c r="A112" s="134"/>
      <c r="B112" s="6"/>
      <c r="C112" s="159">
        <f>Classificacao!F46</f>
        <v>0</v>
      </c>
      <c r="D112" s="151">
        <f ca="1">somaCodigoCartaoCreditoParceladoProximoMes(1,Classificacao!D46)</f>
        <v>0</v>
      </c>
      <c r="E112" s="153">
        <f ca="1">somaCodigoCartaoCredito(1,Classificacao!D46)</f>
        <v>0</v>
      </c>
      <c r="F112" s="151" t="e">
        <f ca="1">somaCodigoCartaoCreditoParceladoProximoMes(2,Classificacao!D46)</f>
        <v>#VALUE!</v>
      </c>
      <c r="G112" s="153" t="e">
        <f ca="1">somaCodigoCartaoCredito(2,Classificacao!D46)</f>
        <v>#VALUE!</v>
      </c>
      <c r="H112" s="151" t="e">
        <f ca="1">somaCodigoCartaoCreditoParceladoProximoMes(3,Classificacao!D46)</f>
        <v>#VALUE!</v>
      </c>
      <c r="I112" s="153" t="e">
        <f ca="1">somaCodigoCartaoCredito(3,Classificacao!D46)</f>
        <v>#VALUE!</v>
      </c>
      <c r="J112" s="151" t="e">
        <f ca="1">somaCodigoCartaoCreditoParceladoProximoMes(4,Classificacao!D46)</f>
        <v>#VALUE!</v>
      </c>
      <c r="K112" s="153" t="e">
        <f ca="1">somaCodigoCartaoCredito(4,Classificacao!D46)</f>
        <v>#VALUE!</v>
      </c>
      <c r="L112" s="151" t="e">
        <f ca="1">somaCodigoCartaoCreditoParceladoProximoMes(5,Classificacao!D46)</f>
        <v>#VALUE!</v>
      </c>
      <c r="M112" s="153" t="e">
        <f ca="1">somaCodigoCartaoCredito(5,Classificacao!D46)</f>
        <v>#VALUE!</v>
      </c>
      <c r="N112" s="151" t="e">
        <f ca="1">somaCodigoCartaoCreditoParceladoProximoMes(6,Classificacao!D46)</f>
        <v>#VALUE!</v>
      </c>
      <c r="O112" s="153" t="e">
        <f ca="1">somaCodigoCartaoCredito(6,Classificacao!D46)</f>
        <v>#VALUE!</v>
      </c>
      <c r="P112" s="151" t="e">
        <f ca="1">somaCodigoCartaoCreditoParceladoProximoMes(7,Classificacao!D46)</f>
        <v>#VALUE!</v>
      </c>
      <c r="Q112" s="153" t="e">
        <f ca="1">somaCodigoCartaoCredito(7,Classificacao!D46)</f>
        <v>#VALUE!</v>
      </c>
      <c r="R112" s="151" t="e">
        <f ca="1">somaCodigoCartaoCreditoParceladoProximoMes(8,Classificacao!D46)</f>
        <v>#VALUE!</v>
      </c>
      <c r="S112" s="153" t="e">
        <f ca="1">somaCodigoCartaoCredito(8,Classificacao!D46)</f>
        <v>#VALUE!</v>
      </c>
      <c r="T112" s="151" t="e">
        <f ca="1">somaCodigoCartaoCreditoParceladoProximoMes(9,Classificacao!D46)</f>
        <v>#VALUE!</v>
      </c>
      <c r="U112" s="153" t="e">
        <f ca="1">somaCodigoCartaoCredito(9,Classificacao!D46)</f>
        <v>#VALUE!</v>
      </c>
      <c r="V112" s="151" t="e">
        <f ca="1">somaCodigoCartaoCreditoParceladoProximoMes(10,Classificacao!D46)</f>
        <v>#VALUE!</v>
      </c>
      <c r="W112" s="153" t="e">
        <f ca="1">somaCodigoCartaoCredito(10,Classificacao!D46)</f>
        <v>#VALUE!</v>
      </c>
      <c r="X112" s="151" t="e">
        <f ca="1">somaCodigoCartaoCreditoParceladoProximoMes(11,Classificacao!D46)</f>
        <v>#VALUE!</v>
      </c>
      <c r="Y112" s="153" t="e">
        <f ca="1">somaCodigoCartaoCredito(11,Classificacao!D46)</f>
        <v>#VALUE!</v>
      </c>
      <c r="Z112" s="151" t="e">
        <f ca="1">somaCodigoCartaoCreditoParceladoProximoMes(12,Classificacao!D46)</f>
        <v>#VALUE!</v>
      </c>
      <c r="AA112" s="153" t="e">
        <f ca="1">somaCodigoCartaoCredito(12,Classificacao!D46)</f>
        <v>#VALUE!</v>
      </c>
      <c r="AB112" s="6"/>
      <c r="AC112" s="134"/>
      <c r="AE112" s="105"/>
      <c r="AF112" s="124" t="e">
        <f t="shared" ca="1" si="3"/>
        <v>#VALUE!</v>
      </c>
    </row>
    <row r="113" spans="1:32" ht="12.75" customHeight="1" outlineLevel="1">
      <c r="A113" s="134"/>
      <c r="B113" s="6"/>
      <c r="C113" s="159">
        <f>Classificacao!F47</f>
        <v>0</v>
      </c>
      <c r="D113" s="151">
        <f ca="1">somaCodigoCartaoCreditoParceladoProximoMes(1,Classificacao!D47)</f>
        <v>0</v>
      </c>
      <c r="E113" s="153">
        <f ca="1">somaCodigoCartaoCredito(1,Classificacao!D47)</f>
        <v>0</v>
      </c>
      <c r="F113" s="151" t="e">
        <f ca="1">somaCodigoCartaoCreditoParceladoProximoMes(2,Classificacao!D47)</f>
        <v>#VALUE!</v>
      </c>
      <c r="G113" s="153" t="e">
        <f ca="1">somaCodigoCartaoCredito(2,Classificacao!D47)</f>
        <v>#VALUE!</v>
      </c>
      <c r="H113" s="151" t="e">
        <f ca="1">somaCodigoCartaoCreditoParceladoProximoMes(3,Classificacao!D47)</f>
        <v>#VALUE!</v>
      </c>
      <c r="I113" s="153" t="e">
        <f ca="1">somaCodigoCartaoCredito(3,Classificacao!D47)</f>
        <v>#VALUE!</v>
      </c>
      <c r="J113" s="151" t="e">
        <f ca="1">somaCodigoCartaoCreditoParceladoProximoMes(4,Classificacao!D47)</f>
        <v>#VALUE!</v>
      </c>
      <c r="K113" s="153" t="e">
        <f ca="1">somaCodigoCartaoCredito(4,Classificacao!D47)</f>
        <v>#VALUE!</v>
      </c>
      <c r="L113" s="151" t="e">
        <f ca="1">somaCodigoCartaoCreditoParceladoProximoMes(5,Classificacao!D47)</f>
        <v>#VALUE!</v>
      </c>
      <c r="M113" s="153" t="e">
        <f ca="1">somaCodigoCartaoCredito(5,Classificacao!D47)</f>
        <v>#VALUE!</v>
      </c>
      <c r="N113" s="151" t="e">
        <f ca="1">somaCodigoCartaoCreditoParceladoProximoMes(6,Classificacao!D47)</f>
        <v>#VALUE!</v>
      </c>
      <c r="O113" s="153" t="e">
        <f ca="1">somaCodigoCartaoCredito(6,Classificacao!D47)</f>
        <v>#VALUE!</v>
      </c>
      <c r="P113" s="151" t="e">
        <f ca="1">somaCodigoCartaoCreditoParceladoProximoMes(7,Classificacao!D47)</f>
        <v>#VALUE!</v>
      </c>
      <c r="Q113" s="153" t="e">
        <f ca="1">somaCodigoCartaoCredito(7,Classificacao!D47)</f>
        <v>#VALUE!</v>
      </c>
      <c r="R113" s="151" t="e">
        <f ca="1">somaCodigoCartaoCreditoParceladoProximoMes(8,Classificacao!D47)</f>
        <v>#VALUE!</v>
      </c>
      <c r="S113" s="153" t="e">
        <f ca="1">somaCodigoCartaoCredito(8,Classificacao!D47)</f>
        <v>#VALUE!</v>
      </c>
      <c r="T113" s="151" t="e">
        <f ca="1">somaCodigoCartaoCreditoParceladoProximoMes(9,Classificacao!D47)</f>
        <v>#VALUE!</v>
      </c>
      <c r="U113" s="153" t="e">
        <f ca="1">somaCodigoCartaoCredito(9,Classificacao!D47)</f>
        <v>#VALUE!</v>
      </c>
      <c r="V113" s="151" t="e">
        <f ca="1">somaCodigoCartaoCreditoParceladoProximoMes(10,Classificacao!D47)</f>
        <v>#VALUE!</v>
      </c>
      <c r="W113" s="153" t="e">
        <f ca="1">somaCodigoCartaoCredito(10,Classificacao!D47)</f>
        <v>#VALUE!</v>
      </c>
      <c r="X113" s="151" t="e">
        <f ca="1">somaCodigoCartaoCreditoParceladoProximoMes(11,Classificacao!D47)</f>
        <v>#VALUE!</v>
      </c>
      <c r="Y113" s="153" t="e">
        <f ca="1">somaCodigoCartaoCredito(11,Classificacao!D47)</f>
        <v>#VALUE!</v>
      </c>
      <c r="Z113" s="151" t="e">
        <f ca="1">somaCodigoCartaoCreditoParceladoProximoMes(12,Classificacao!D47)</f>
        <v>#VALUE!</v>
      </c>
      <c r="AA113" s="153" t="e">
        <f ca="1">somaCodigoCartaoCredito(12,Classificacao!D47)</f>
        <v>#VALUE!</v>
      </c>
      <c r="AB113" s="6"/>
      <c r="AC113" s="134"/>
      <c r="AE113" s="105"/>
      <c r="AF113" s="124" t="e">
        <f t="shared" ca="1" si="3"/>
        <v>#VALUE!</v>
      </c>
    </row>
    <row r="114" spans="1:32" ht="12.75" customHeight="1" outlineLevel="1">
      <c r="A114" s="134"/>
      <c r="B114" s="6"/>
      <c r="C114" s="159">
        <f>Classificacao!F48</f>
        <v>0</v>
      </c>
      <c r="D114" s="151">
        <f ca="1">somaCodigoCartaoCreditoParceladoProximoMes(1,Classificacao!D48)</f>
        <v>0</v>
      </c>
      <c r="E114" s="153">
        <f ca="1">somaCodigoCartaoCredito(1,Classificacao!D48)</f>
        <v>0</v>
      </c>
      <c r="F114" s="151" t="e">
        <f ca="1">somaCodigoCartaoCreditoParceladoProximoMes(2,Classificacao!D48)</f>
        <v>#VALUE!</v>
      </c>
      <c r="G114" s="153" t="e">
        <f ca="1">somaCodigoCartaoCredito(2,Classificacao!D48)</f>
        <v>#VALUE!</v>
      </c>
      <c r="H114" s="151" t="e">
        <f ca="1">somaCodigoCartaoCreditoParceladoProximoMes(3,Classificacao!D48)</f>
        <v>#VALUE!</v>
      </c>
      <c r="I114" s="153" t="e">
        <f ca="1">somaCodigoCartaoCredito(3,Classificacao!D48)</f>
        <v>#VALUE!</v>
      </c>
      <c r="J114" s="151" t="e">
        <f ca="1">somaCodigoCartaoCreditoParceladoProximoMes(4,Classificacao!D48)</f>
        <v>#VALUE!</v>
      </c>
      <c r="K114" s="153" t="e">
        <f ca="1">somaCodigoCartaoCredito(4,Classificacao!D48)</f>
        <v>#VALUE!</v>
      </c>
      <c r="L114" s="151" t="e">
        <f ca="1">somaCodigoCartaoCreditoParceladoProximoMes(5,Classificacao!D48)</f>
        <v>#VALUE!</v>
      </c>
      <c r="M114" s="153" t="e">
        <f ca="1">somaCodigoCartaoCredito(5,Classificacao!D48)</f>
        <v>#VALUE!</v>
      </c>
      <c r="N114" s="151" t="e">
        <f ca="1">somaCodigoCartaoCreditoParceladoProximoMes(6,Classificacao!D48)</f>
        <v>#VALUE!</v>
      </c>
      <c r="O114" s="153" t="e">
        <f ca="1">somaCodigoCartaoCredito(6,Classificacao!D48)</f>
        <v>#VALUE!</v>
      </c>
      <c r="P114" s="151" t="e">
        <f ca="1">somaCodigoCartaoCreditoParceladoProximoMes(7,Classificacao!D48)</f>
        <v>#VALUE!</v>
      </c>
      <c r="Q114" s="153" t="e">
        <f ca="1">somaCodigoCartaoCredito(7,Classificacao!D48)</f>
        <v>#VALUE!</v>
      </c>
      <c r="R114" s="151" t="e">
        <f ca="1">somaCodigoCartaoCreditoParceladoProximoMes(8,Classificacao!D48)</f>
        <v>#VALUE!</v>
      </c>
      <c r="S114" s="153" t="e">
        <f ca="1">somaCodigoCartaoCredito(8,Classificacao!D48)</f>
        <v>#VALUE!</v>
      </c>
      <c r="T114" s="151" t="e">
        <f ca="1">somaCodigoCartaoCreditoParceladoProximoMes(9,Classificacao!D48)</f>
        <v>#VALUE!</v>
      </c>
      <c r="U114" s="153" t="e">
        <f ca="1">somaCodigoCartaoCredito(9,Classificacao!D48)</f>
        <v>#VALUE!</v>
      </c>
      <c r="V114" s="151" t="e">
        <f ca="1">somaCodigoCartaoCreditoParceladoProximoMes(10,Classificacao!D48)</f>
        <v>#VALUE!</v>
      </c>
      <c r="W114" s="153" t="e">
        <f ca="1">somaCodigoCartaoCredito(10,Classificacao!D48)</f>
        <v>#VALUE!</v>
      </c>
      <c r="X114" s="151" t="e">
        <f ca="1">somaCodigoCartaoCreditoParceladoProximoMes(11,Classificacao!D48)</f>
        <v>#VALUE!</v>
      </c>
      <c r="Y114" s="153" t="e">
        <f ca="1">somaCodigoCartaoCredito(11,Classificacao!D48)</f>
        <v>#VALUE!</v>
      </c>
      <c r="Z114" s="151" t="e">
        <f ca="1">somaCodigoCartaoCreditoParceladoProximoMes(12,Classificacao!D48)</f>
        <v>#VALUE!</v>
      </c>
      <c r="AA114" s="153" t="e">
        <f ca="1">somaCodigoCartaoCredito(12,Classificacao!D48)</f>
        <v>#VALUE!</v>
      </c>
      <c r="AB114" s="6"/>
      <c r="AC114" s="134"/>
      <c r="AE114" s="105"/>
      <c r="AF114" s="124" t="e">
        <f t="shared" ca="1" si="3"/>
        <v>#VALUE!</v>
      </c>
    </row>
    <row r="115" spans="1:32" ht="12.75" customHeight="1" outlineLevel="1">
      <c r="A115" s="134"/>
      <c r="B115" s="6"/>
      <c r="C115" s="159">
        <f>Classificacao!F49</f>
        <v>0</v>
      </c>
      <c r="D115" s="151">
        <f ca="1">somaCodigoCartaoCreditoParceladoProximoMes(1,Classificacao!D49)</f>
        <v>0</v>
      </c>
      <c r="E115" s="153">
        <f ca="1">somaCodigoCartaoCredito(1,Classificacao!D49)</f>
        <v>0</v>
      </c>
      <c r="F115" s="151" t="e">
        <f ca="1">somaCodigoCartaoCreditoParceladoProximoMes(2,Classificacao!D49)</f>
        <v>#VALUE!</v>
      </c>
      <c r="G115" s="153" t="e">
        <f ca="1">somaCodigoCartaoCredito(2,Classificacao!D49)</f>
        <v>#VALUE!</v>
      </c>
      <c r="H115" s="151" t="e">
        <f ca="1">somaCodigoCartaoCreditoParceladoProximoMes(3,Classificacao!D49)</f>
        <v>#VALUE!</v>
      </c>
      <c r="I115" s="153" t="e">
        <f ca="1">somaCodigoCartaoCredito(3,Classificacao!D49)</f>
        <v>#VALUE!</v>
      </c>
      <c r="J115" s="151" t="e">
        <f ca="1">somaCodigoCartaoCreditoParceladoProximoMes(4,Classificacao!D49)</f>
        <v>#VALUE!</v>
      </c>
      <c r="K115" s="153" t="e">
        <f ca="1">somaCodigoCartaoCredito(4,Classificacao!D49)</f>
        <v>#VALUE!</v>
      </c>
      <c r="L115" s="151" t="e">
        <f ca="1">somaCodigoCartaoCreditoParceladoProximoMes(5,Classificacao!D49)</f>
        <v>#VALUE!</v>
      </c>
      <c r="M115" s="153" t="e">
        <f ca="1">somaCodigoCartaoCredito(5,Classificacao!D49)</f>
        <v>#VALUE!</v>
      </c>
      <c r="N115" s="151" t="e">
        <f ca="1">somaCodigoCartaoCreditoParceladoProximoMes(6,Classificacao!D49)</f>
        <v>#VALUE!</v>
      </c>
      <c r="O115" s="153" t="e">
        <f ca="1">somaCodigoCartaoCredito(6,Classificacao!D49)</f>
        <v>#VALUE!</v>
      </c>
      <c r="P115" s="151" t="e">
        <f ca="1">somaCodigoCartaoCreditoParceladoProximoMes(7,Classificacao!D49)</f>
        <v>#VALUE!</v>
      </c>
      <c r="Q115" s="153" t="e">
        <f ca="1">somaCodigoCartaoCredito(7,Classificacao!D49)</f>
        <v>#VALUE!</v>
      </c>
      <c r="R115" s="151" t="e">
        <f ca="1">somaCodigoCartaoCreditoParceladoProximoMes(8,Classificacao!D49)</f>
        <v>#VALUE!</v>
      </c>
      <c r="S115" s="153" t="e">
        <f ca="1">somaCodigoCartaoCredito(8,Classificacao!D49)</f>
        <v>#VALUE!</v>
      </c>
      <c r="T115" s="151" t="e">
        <f ca="1">somaCodigoCartaoCreditoParceladoProximoMes(9,Classificacao!D49)</f>
        <v>#VALUE!</v>
      </c>
      <c r="U115" s="153" t="e">
        <f ca="1">somaCodigoCartaoCredito(9,Classificacao!D49)</f>
        <v>#VALUE!</v>
      </c>
      <c r="V115" s="151" t="e">
        <f ca="1">somaCodigoCartaoCreditoParceladoProximoMes(10,Classificacao!D49)</f>
        <v>#VALUE!</v>
      </c>
      <c r="W115" s="153" t="e">
        <f ca="1">somaCodigoCartaoCredito(10,Classificacao!D49)</f>
        <v>#VALUE!</v>
      </c>
      <c r="X115" s="151" t="e">
        <f ca="1">somaCodigoCartaoCreditoParceladoProximoMes(11,Classificacao!D49)</f>
        <v>#VALUE!</v>
      </c>
      <c r="Y115" s="153" t="e">
        <f ca="1">somaCodigoCartaoCredito(11,Classificacao!D49)</f>
        <v>#VALUE!</v>
      </c>
      <c r="Z115" s="151" t="e">
        <f ca="1">somaCodigoCartaoCreditoParceladoProximoMes(12,Classificacao!D49)</f>
        <v>#VALUE!</v>
      </c>
      <c r="AA115" s="153" t="e">
        <f ca="1">somaCodigoCartaoCredito(12,Classificacao!D49)</f>
        <v>#VALUE!</v>
      </c>
      <c r="AB115" s="6"/>
      <c r="AC115" s="134"/>
      <c r="AE115" s="105"/>
      <c r="AF115" s="124" t="e">
        <f t="shared" ca="1" si="3"/>
        <v>#VALUE!</v>
      </c>
    </row>
    <row r="116" spans="1:32" ht="12.75" customHeight="1" outlineLevel="1">
      <c r="A116" s="134"/>
      <c r="B116" s="6"/>
      <c r="C116" s="159">
        <f>Classificacao!F50</f>
        <v>0</v>
      </c>
      <c r="D116" s="151">
        <f ca="1">somaCodigoCartaoCreditoParceladoProximoMes(1,Classificacao!D50)</f>
        <v>0</v>
      </c>
      <c r="E116" s="153">
        <f ca="1">somaCodigoCartaoCredito(1,Classificacao!D50)</f>
        <v>0</v>
      </c>
      <c r="F116" s="151" t="e">
        <f ca="1">somaCodigoCartaoCreditoParceladoProximoMes(2,Classificacao!D50)</f>
        <v>#VALUE!</v>
      </c>
      <c r="G116" s="153" t="e">
        <f ca="1">somaCodigoCartaoCredito(2,Classificacao!D50)</f>
        <v>#VALUE!</v>
      </c>
      <c r="H116" s="151" t="e">
        <f ca="1">somaCodigoCartaoCreditoParceladoProximoMes(3,Classificacao!D50)</f>
        <v>#VALUE!</v>
      </c>
      <c r="I116" s="153" t="e">
        <f ca="1">somaCodigoCartaoCredito(3,Classificacao!D50)</f>
        <v>#VALUE!</v>
      </c>
      <c r="J116" s="151" t="e">
        <f ca="1">somaCodigoCartaoCreditoParceladoProximoMes(4,Classificacao!D50)</f>
        <v>#VALUE!</v>
      </c>
      <c r="K116" s="153" t="e">
        <f ca="1">somaCodigoCartaoCredito(4,Classificacao!D50)</f>
        <v>#VALUE!</v>
      </c>
      <c r="L116" s="151" t="e">
        <f ca="1">somaCodigoCartaoCreditoParceladoProximoMes(5,Classificacao!D50)</f>
        <v>#VALUE!</v>
      </c>
      <c r="M116" s="153" t="e">
        <f ca="1">somaCodigoCartaoCredito(5,Classificacao!D50)</f>
        <v>#VALUE!</v>
      </c>
      <c r="N116" s="151" t="e">
        <f ca="1">somaCodigoCartaoCreditoParceladoProximoMes(6,Classificacao!D50)</f>
        <v>#VALUE!</v>
      </c>
      <c r="O116" s="153" t="e">
        <f ca="1">somaCodigoCartaoCredito(6,Classificacao!D50)</f>
        <v>#VALUE!</v>
      </c>
      <c r="P116" s="151" t="e">
        <f ca="1">somaCodigoCartaoCreditoParceladoProximoMes(7,Classificacao!D50)</f>
        <v>#VALUE!</v>
      </c>
      <c r="Q116" s="153" t="e">
        <f ca="1">somaCodigoCartaoCredito(7,Classificacao!D50)</f>
        <v>#VALUE!</v>
      </c>
      <c r="R116" s="151" t="e">
        <f ca="1">somaCodigoCartaoCreditoParceladoProximoMes(8,Classificacao!D50)</f>
        <v>#VALUE!</v>
      </c>
      <c r="S116" s="153" t="e">
        <f ca="1">somaCodigoCartaoCredito(8,Classificacao!D50)</f>
        <v>#VALUE!</v>
      </c>
      <c r="T116" s="151" t="e">
        <f ca="1">somaCodigoCartaoCreditoParceladoProximoMes(9,Classificacao!D50)</f>
        <v>#VALUE!</v>
      </c>
      <c r="U116" s="153" t="e">
        <f ca="1">somaCodigoCartaoCredito(9,Classificacao!D50)</f>
        <v>#VALUE!</v>
      </c>
      <c r="V116" s="151" t="e">
        <f ca="1">somaCodigoCartaoCreditoParceladoProximoMes(10,Classificacao!D50)</f>
        <v>#VALUE!</v>
      </c>
      <c r="W116" s="153" t="e">
        <f ca="1">somaCodigoCartaoCredito(10,Classificacao!D50)</f>
        <v>#VALUE!</v>
      </c>
      <c r="X116" s="151" t="e">
        <f ca="1">somaCodigoCartaoCreditoParceladoProximoMes(11,Classificacao!D50)</f>
        <v>#VALUE!</v>
      </c>
      <c r="Y116" s="153" t="e">
        <f ca="1">somaCodigoCartaoCredito(11,Classificacao!D50)</f>
        <v>#VALUE!</v>
      </c>
      <c r="Z116" s="151" t="e">
        <f ca="1">somaCodigoCartaoCreditoParceladoProximoMes(12,Classificacao!D50)</f>
        <v>#VALUE!</v>
      </c>
      <c r="AA116" s="153" t="e">
        <f ca="1">somaCodigoCartaoCredito(12,Classificacao!D50)</f>
        <v>#VALUE!</v>
      </c>
      <c r="AB116" s="6"/>
      <c r="AC116" s="134"/>
      <c r="AE116" s="105"/>
      <c r="AF116" s="124" t="e">
        <f t="shared" ca="1" si="3"/>
        <v>#VALUE!</v>
      </c>
    </row>
    <row r="117" spans="1:32" ht="12.75" customHeight="1" outlineLevel="1">
      <c r="A117" s="134"/>
      <c r="B117" s="6"/>
      <c r="C117" s="159">
        <f>Classificacao!F51</f>
        <v>0</v>
      </c>
      <c r="D117" s="151">
        <f ca="1">somaCodigoCartaoCreditoParceladoProximoMes(1,Classificacao!D51)</f>
        <v>0</v>
      </c>
      <c r="E117" s="153">
        <f ca="1">somaCodigoCartaoCredito(1,Classificacao!D51)</f>
        <v>0</v>
      </c>
      <c r="F117" s="151" t="e">
        <f ca="1">somaCodigoCartaoCreditoParceladoProximoMes(2,Classificacao!D51)</f>
        <v>#VALUE!</v>
      </c>
      <c r="G117" s="153" t="e">
        <f ca="1">somaCodigoCartaoCredito(2,Classificacao!D51)</f>
        <v>#VALUE!</v>
      </c>
      <c r="H117" s="151" t="e">
        <f ca="1">somaCodigoCartaoCreditoParceladoProximoMes(3,Classificacao!D51)</f>
        <v>#VALUE!</v>
      </c>
      <c r="I117" s="153" t="e">
        <f ca="1">somaCodigoCartaoCredito(3,Classificacao!D51)</f>
        <v>#VALUE!</v>
      </c>
      <c r="J117" s="151" t="e">
        <f ca="1">somaCodigoCartaoCreditoParceladoProximoMes(4,Classificacao!D51)</f>
        <v>#VALUE!</v>
      </c>
      <c r="K117" s="153" t="e">
        <f ca="1">somaCodigoCartaoCredito(4,Classificacao!D51)</f>
        <v>#VALUE!</v>
      </c>
      <c r="L117" s="151" t="e">
        <f ca="1">somaCodigoCartaoCreditoParceladoProximoMes(5,Classificacao!D51)</f>
        <v>#VALUE!</v>
      </c>
      <c r="M117" s="153" t="e">
        <f ca="1">somaCodigoCartaoCredito(5,Classificacao!D51)</f>
        <v>#VALUE!</v>
      </c>
      <c r="N117" s="151" t="e">
        <f ca="1">somaCodigoCartaoCreditoParceladoProximoMes(6,Classificacao!D51)</f>
        <v>#VALUE!</v>
      </c>
      <c r="O117" s="153" t="e">
        <f ca="1">somaCodigoCartaoCredito(6,Classificacao!D51)</f>
        <v>#VALUE!</v>
      </c>
      <c r="P117" s="151" t="e">
        <f ca="1">somaCodigoCartaoCreditoParceladoProximoMes(7,Classificacao!D51)</f>
        <v>#VALUE!</v>
      </c>
      <c r="Q117" s="153" t="e">
        <f ca="1">somaCodigoCartaoCredito(7,Classificacao!D51)</f>
        <v>#VALUE!</v>
      </c>
      <c r="R117" s="151" t="e">
        <f ca="1">somaCodigoCartaoCreditoParceladoProximoMes(8,Classificacao!D51)</f>
        <v>#VALUE!</v>
      </c>
      <c r="S117" s="153" t="e">
        <f ca="1">somaCodigoCartaoCredito(8,Classificacao!D51)</f>
        <v>#VALUE!</v>
      </c>
      <c r="T117" s="151" t="e">
        <f ca="1">somaCodigoCartaoCreditoParceladoProximoMes(9,Classificacao!D51)</f>
        <v>#VALUE!</v>
      </c>
      <c r="U117" s="153" t="e">
        <f ca="1">somaCodigoCartaoCredito(9,Classificacao!D51)</f>
        <v>#VALUE!</v>
      </c>
      <c r="V117" s="151" t="e">
        <f ca="1">somaCodigoCartaoCreditoParceladoProximoMes(10,Classificacao!D51)</f>
        <v>#VALUE!</v>
      </c>
      <c r="W117" s="153" t="e">
        <f ca="1">somaCodigoCartaoCredito(10,Classificacao!D51)</f>
        <v>#VALUE!</v>
      </c>
      <c r="X117" s="151" t="e">
        <f ca="1">somaCodigoCartaoCreditoParceladoProximoMes(11,Classificacao!D51)</f>
        <v>#VALUE!</v>
      </c>
      <c r="Y117" s="153" t="e">
        <f ca="1">somaCodigoCartaoCredito(11,Classificacao!D51)</f>
        <v>#VALUE!</v>
      </c>
      <c r="Z117" s="151" t="e">
        <f ca="1">somaCodigoCartaoCreditoParceladoProximoMes(12,Classificacao!D51)</f>
        <v>#VALUE!</v>
      </c>
      <c r="AA117" s="153" t="e">
        <f ca="1">somaCodigoCartaoCredito(12,Classificacao!D51)</f>
        <v>#VALUE!</v>
      </c>
      <c r="AB117" s="6"/>
      <c r="AC117" s="134"/>
      <c r="AE117" s="105"/>
      <c r="AF117" s="124" t="e">
        <f t="shared" ca="1" si="3"/>
        <v>#VALUE!</v>
      </c>
    </row>
    <row r="118" spans="1:32" ht="12.75" customHeight="1" outlineLevel="1">
      <c r="A118" s="134"/>
      <c r="B118" s="6"/>
      <c r="C118" s="159">
        <f>Classificacao!F53</f>
        <v>0</v>
      </c>
      <c r="D118" s="151">
        <f ca="1">somaCodigoCartaoCreditoParceladoProximoMes(1,Classificacao!D52)</f>
        <v>0</v>
      </c>
      <c r="E118" s="153">
        <f ca="1">somaCodigoCartaoCredito(1,Classificacao!D52)</f>
        <v>0</v>
      </c>
      <c r="F118" s="151" t="e">
        <f ca="1">somaCodigoCartaoCreditoParceladoProximoMes(2,Classificacao!D52)</f>
        <v>#VALUE!</v>
      </c>
      <c r="G118" s="153" t="e">
        <f ca="1">somaCodigoCartaoCredito(2,Classificacao!D52)</f>
        <v>#VALUE!</v>
      </c>
      <c r="H118" s="151" t="e">
        <f ca="1">somaCodigoCartaoCreditoParceladoProximoMes(3,Classificacao!D52)</f>
        <v>#VALUE!</v>
      </c>
      <c r="I118" s="153" t="e">
        <f ca="1">somaCodigoCartaoCredito(3,Classificacao!D52)</f>
        <v>#VALUE!</v>
      </c>
      <c r="J118" s="151" t="e">
        <f ca="1">somaCodigoCartaoCreditoParceladoProximoMes(4,Classificacao!D52)</f>
        <v>#VALUE!</v>
      </c>
      <c r="K118" s="153" t="e">
        <f ca="1">somaCodigoCartaoCredito(4,Classificacao!D52)</f>
        <v>#VALUE!</v>
      </c>
      <c r="L118" s="151" t="e">
        <f ca="1">somaCodigoCartaoCreditoParceladoProximoMes(5,Classificacao!D52)</f>
        <v>#VALUE!</v>
      </c>
      <c r="M118" s="153" t="e">
        <f ca="1">somaCodigoCartaoCredito(5,Classificacao!D52)</f>
        <v>#VALUE!</v>
      </c>
      <c r="N118" s="151" t="e">
        <f ca="1">somaCodigoCartaoCreditoParceladoProximoMes(6,Classificacao!D52)</f>
        <v>#VALUE!</v>
      </c>
      <c r="O118" s="153" t="e">
        <f ca="1">somaCodigoCartaoCredito(6,Classificacao!D52)</f>
        <v>#VALUE!</v>
      </c>
      <c r="P118" s="151" t="e">
        <f ca="1">somaCodigoCartaoCreditoParceladoProximoMes(7,Classificacao!D52)</f>
        <v>#VALUE!</v>
      </c>
      <c r="Q118" s="153" t="e">
        <f ca="1">somaCodigoCartaoCredito(7,Classificacao!D52)</f>
        <v>#VALUE!</v>
      </c>
      <c r="R118" s="151" t="e">
        <f ca="1">somaCodigoCartaoCreditoParceladoProximoMes(8,Classificacao!D52)</f>
        <v>#VALUE!</v>
      </c>
      <c r="S118" s="153" t="e">
        <f ca="1">somaCodigoCartaoCredito(8,Classificacao!D52)</f>
        <v>#VALUE!</v>
      </c>
      <c r="T118" s="151" t="e">
        <f ca="1">somaCodigoCartaoCreditoParceladoProximoMes(9,Classificacao!D52)</f>
        <v>#VALUE!</v>
      </c>
      <c r="U118" s="153" t="e">
        <f ca="1">somaCodigoCartaoCredito(9,Classificacao!D52)</f>
        <v>#VALUE!</v>
      </c>
      <c r="V118" s="151" t="e">
        <f ca="1">somaCodigoCartaoCreditoParceladoProximoMes(10,Classificacao!D52)</f>
        <v>#VALUE!</v>
      </c>
      <c r="W118" s="153" t="e">
        <f ca="1">somaCodigoCartaoCredito(10,Classificacao!D52)</f>
        <v>#VALUE!</v>
      </c>
      <c r="X118" s="151" t="e">
        <f ca="1">somaCodigoCartaoCreditoParceladoProximoMes(11,Classificacao!D52)</f>
        <v>#VALUE!</v>
      </c>
      <c r="Y118" s="153" t="e">
        <f ca="1">somaCodigoCartaoCredito(11,Classificacao!D52)</f>
        <v>#VALUE!</v>
      </c>
      <c r="Z118" s="151" t="e">
        <f ca="1">somaCodigoCartaoCreditoParceladoProximoMes(12,Classificacao!D52)</f>
        <v>#VALUE!</v>
      </c>
      <c r="AA118" s="153" t="e">
        <f ca="1">somaCodigoCartaoCredito(12,Classificacao!D52)</f>
        <v>#VALUE!</v>
      </c>
      <c r="AB118" s="6"/>
      <c r="AC118" s="134"/>
      <c r="AE118" s="105"/>
      <c r="AF118" s="124" t="e">
        <f t="shared" ca="1" si="3"/>
        <v>#VALUE!</v>
      </c>
    </row>
    <row r="119" spans="1:32" ht="12.75" customHeight="1" outlineLevel="1">
      <c r="A119" s="134"/>
      <c r="B119" s="6"/>
      <c r="C119" s="159">
        <f>Classificacao!F54</f>
        <v>0</v>
      </c>
      <c r="D119" s="151">
        <f ca="1">somaCodigoCartaoCreditoParceladoProximoMes(1,Classificacao!D53)</f>
        <v>0</v>
      </c>
      <c r="E119" s="153">
        <f ca="1">somaCodigoCartaoCredito(1,Classificacao!D53)</f>
        <v>0</v>
      </c>
      <c r="F119" s="151" t="e">
        <f ca="1">somaCodigoCartaoCreditoParceladoProximoMes(2,Classificacao!D53)</f>
        <v>#VALUE!</v>
      </c>
      <c r="G119" s="153" t="e">
        <f ca="1">somaCodigoCartaoCredito(2,Classificacao!D53)</f>
        <v>#VALUE!</v>
      </c>
      <c r="H119" s="151" t="e">
        <f ca="1">somaCodigoCartaoCreditoParceladoProximoMes(3,Classificacao!D53)</f>
        <v>#VALUE!</v>
      </c>
      <c r="I119" s="153" t="e">
        <f ca="1">somaCodigoCartaoCredito(3,Classificacao!D53)</f>
        <v>#VALUE!</v>
      </c>
      <c r="J119" s="151" t="e">
        <f ca="1">somaCodigoCartaoCreditoParceladoProximoMes(4,Classificacao!D53)</f>
        <v>#VALUE!</v>
      </c>
      <c r="K119" s="153" t="e">
        <f ca="1">somaCodigoCartaoCredito(4,Classificacao!D53)</f>
        <v>#VALUE!</v>
      </c>
      <c r="L119" s="151" t="e">
        <f ca="1">somaCodigoCartaoCreditoParceladoProximoMes(5,Classificacao!D53)</f>
        <v>#VALUE!</v>
      </c>
      <c r="M119" s="153" t="e">
        <f ca="1">somaCodigoCartaoCredito(5,Classificacao!D53)</f>
        <v>#VALUE!</v>
      </c>
      <c r="N119" s="151" t="e">
        <f ca="1">somaCodigoCartaoCreditoParceladoProximoMes(6,Classificacao!D53)</f>
        <v>#VALUE!</v>
      </c>
      <c r="O119" s="153" t="e">
        <f ca="1">somaCodigoCartaoCredito(6,Classificacao!D53)</f>
        <v>#VALUE!</v>
      </c>
      <c r="P119" s="151" t="e">
        <f ca="1">somaCodigoCartaoCreditoParceladoProximoMes(7,Classificacao!D53)</f>
        <v>#VALUE!</v>
      </c>
      <c r="Q119" s="153" t="e">
        <f ca="1">somaCodigoCartaoCredito(7,Classificacao!D53)</f>
        <v>#VALUE!</v>
      </c>
      <c r="R119" s="151" t="e">
        <f ca="1">somaCodigoCartaoCreditoParceladoProximoMes(8,Classificacao!D53)</f>
        <v>#VALUE!</v>
      </c>
      <c r="S119" s="153" t="e">
        <f ca="1">somaCodigoCartaoCredito(8,Classificacao!D53)</f>
        <v>#VALUE!</v>
      </c>
      <c r="T119" s="151" t="e">
        <f ca="1">somaCodigoCartaoCreditoParceladoProximoMes(9,Classificacao!D53)</f>
        <v>#VALUE!</v>
      </c>
      <c r="U119" s="153" t="e">
        <f ca="1">somaCodigoCartaoCredito(9,Classificacao!D53)</f>
        <v>#VALUE!</v>
      </c>
      <c r="V119" s="151" t="e">
        <f ca="1">somaCodigoCartaoCreditoParceladoProximoMes(10,Classificacao!D53)</f>
        <v>#VALUE!</v>
      </c>
      <c r="W119" s="153" t="e">
        <f ca="1">somaCodigoCartaoCredito(10,Classificacao!D53)</f>
        <v>#VALUE!</v>
      </c>
      <c r="X119" s="151" t="e">
        <f ca="1">somaCodigoCartaoCreditoParceladoProximoMes(11,Classificacao!D53)</f>
        <v>#VALUE!</v>
      </c>
      <c r="Y119" s="153" t="e">
        <f ca="1">somaCodigoCartaoCredito(11,Classificacao!D53)</f>
        <v>#VALUE!</v>
      </c>
      <c r="Z119" s="151" t="e">
        <f ca="1">somaCodigoCartaoCreditoParceladoProximoMes(12,Classificacao!D53)</f>
        <v>#VALUE!</v>
      </c>
      <c r="AA119" s="153" t="e">
        <f ca="1">somaCodigoCartaoCredito(12,Classificacao!D53)</f>
        <v>#VALUE!</v>
      </c>
      <c r="AB119" s="6"/>
      <c r="AC119" s="134"/>
      <c r="AE119" s="105"/>
      <c r="AF119" s="124" t="e">
        <f t="shared" ca="1" si="3"/>
        <v>#VALUE!</v>
      </c>
    </row>
    <row r="120" spans="1:32" ht="12.75" customHeight="1" outlineLevel="1">
      <c r="A120" s="134"/>
      <c r="B120" s="6"/>
      <c r="C120" s="160">
        <f>Classificacao!F55</f>
        <v>0</v>
      </c>
      <c r="D120" s="532">
        <f ca="1">somaCodigoCartaoCreditoParceladoProximoMes(1,Classificacao!D54)</f>
        <v>0</v>
      </c>
      <c r="E120" s="153">
        <f ca="1">somaCodigoCartaoCredito(1,Classificacao!D54)</f>
        <v>0</v>
      </c>
      <c r="F120" s="532" t="e">
        <f ca="1">somaCodigoCartaoCreditoParceladoProximoMes(2,Classificacao!D54)</f>
        <v>#VALUE!</v>
      </c>
      <c r="G120" s="153" t="e">
        <f ca="1">somaCodigoCartaoCredito(2,Classificacao!D54)</f>
        <v>#VALUE!</v>
      </c>
      <c r="H120" s="532" t="e">
        <f ca="1">somaCodigoCartaoCreditoParceladoProximoMes(3,Classificacao!D54)</f>
        <v>#VALUE!</v>
      </c>
      <c r="I120" s="153" t="e">
        <f ca="1">somaCodigoCartaoCredito(3,Classificacao!D54)</f>
        <v>#VALUE!</v>
      </c>
      <c r="J120" s="532" t="e">
        <f ca="1">somaCodigoCartaoCreditoParceladoProximoMes(4,Classificacao!D54)</f>
        <v>#VALUE!</v>
      </c>
      <c r="K120" s="153" t="e">
        <f ca="1">somaCodigoCartaoCredito(4,Classificacao!D54)</f>
        <v>#VALUE!</v>
      </c>
      <c r="L120" s="532" t="e">
        <f ca="1">somaCodigoCartaoCreditoParceladoProximoMes(5,Classificacao!D54)</f>
        <v>#VALUE!</v>
      </c>
      <c r="M120" s="153" t="e">
        <f ca="1">somaCodigoCartaoCredito(5,Classificacao!D54)</f>
        <v>#VALUE!</v>
      </c>
      <c r="N120" s="532" t="e">
        <f ca="1">somaCodigoCartaoCreditoParceladoProximoMes(6,Classificacao!D54)</f>
        <v>#VALUE!</v>
      </c>
      <c r="O120" s="153" t="e">
        <f ca="1">somaCodigoCartaoCredito(6,Classificacao!D54)</f>
        <v>#VALUE!</v>
      </c>
      <c r="P120" s="532" t="e">
        <f ca="1">somaCodigoCartaoCreditoParceladoProximoMes(7,Classificacao!D54)</f>
        <v>#VALUE!</v>
      </c>
      <c r="Q120" s="153" t="e">
        <f ca="1">somaCodigoCartaoCredito(7,Classificacao!D54)</f>
        <v>#VALUE!</v>
      </c>
      <c r="R120" s="532" t="e">
        <f ca="1">somaCodigoCartaoCreditoParceladoProximoMes(8,Classificacao!D54)</f>
        <v>#VALUE!</v>
      </c>
      <c r="S120" s="153" t="e">
        <f ca="1">somaCodigoCartaoCredito(8,Classificacao!D54)</f>
        <v>#VALUE!</v>
      </c>
      <c r="T120" s="532" t="e">
        <f ca="1">somaCodigoCartaoCreditoParceladoProximoMes(9,Classificacao!D54)</f>
        <v>#VALUE!</v>
      </c>
      <c r="U120" s="153" t="e">
        <f ca="1">somaCodigoCartaoCredito(9,Classificacao!D54)</f>
        <v>#VALUE!</v>
      </c>
      <c r="V120" s="532" t="e">
        <f ca="1">somaCodigoCartaoCreditoParceladoProximoMes(10,Classificacao!D54)</f>
        <v>#VALUE!</v>
      </c>
      <c r="W120" s="153" t="e">
        <f ca="1">somaCodigoCartaoCredito(10,Classificacao!D54)</f>
        <v>#VALUE!</v>
      </c>
      <c r="X120" s="532" t="e">
        <f ca="1">somaCodigoCartaoCreditoParceladoProximoMes(11,Classificacao!D54)</f>
        <v>#VALUE!</v>
      </c>
      <c r="Y120" s="153" t="e">
        <f ca="1">somaCodigoCartaoCredito(11,Classificacao!D54)</f>
        <v>#VALUE!</v>
      </c>
      <c r="Z120" s="532" t="e">
        <f ca="1">somaCodigoCartaoCreditoParceladoProximoMes(12,Classificacao!D54)</f>
        <v>#VALUE!</v>
      </c>
      <c r="AA120" s="153" t="e">
        <f ca="1">somaCodigoCartaoCredito(12,Classificacao!D54)</f>
        <v>#VALUE!</v>
      </c>
      <c r="AB120" s="6"/>
      <c r="AC120" s="134"/>
      <c r="AE120" s="105"/>
      <c r="AF120" s="124" t="e">
        <f t="shared" ca="1" si="3"/>
        <v>#VALUE!</v>
      </c>
    </row>
    <row r="121" spans="1:32" ht="12.75" customHeight="1" outlineLevel="1">
      <c r="A121" s="134"/>
      <c r="B121" s="6"/>
      <c r="C121" s="159"/>
      <c r="D121" s="151">
        <f ca="1">somaCodigoCartaoCreditoParceladoProximoMes(1,Classificacao!D55)</f>
        <v>0</v>
      </c>
      <c r="E121" s="153">
        <f ca="1">somaCodigoCartaoCredito(1,Classificacao!D55)</f>
        <v>0</v>
      </c>
      <c r="F121" s="151" t="e">
        <f ca="1">somaCodigoCartaoCreditoParceladoProximoMes(2,Classificacao!D55)</f>
        <v>#VALUE!</v>
      </c>
      <c r="G121" s="153" t="e">
        <f ca="1">somaCodigoCartaoCredito(2,Classificacao!D55)</f>
        <v>#VALUE!</v>
      </c>
      <c r="H121" s="151" t="e">
        <f ca="1">somaCodigoCartaoCreditoParceladoProximoMes(3,Classificacao!D55)</f>
        <v>#VALUE!</v>
      </c>
      <c r="I121" s="153" t="e">
        <f ca="1">somaCodigoCartaoCredito(3,Classificacao!D55)</f>
        <v>#VALUE!</v>
      </c>
      <c r="J121" s="151" t="e">
        <f ca="1">somaCodigoCartaoCreditoParceladoProximoMes(4,Classificacao!D55)</f>
        <v>#VALUE!</v>
      </c>
      <c r="K121" s="153" t="e">
        <f ca="1">somaCodigoCartaoCredito(4,Classificacao!D55)</f>
        <v>#VALUE!</v>
      </c>
      <c r="L121" s="151" t="e">
        <f ca="1">somaCodigoCartaoCreditoParceladoProximoMes(5,Classificacao!D55)</f>
        <v>#VALUE!</v>
      </c>
      <c r="M121" s="153" t="e">
        <f ca="1">somaCodigoCartaoCredito(5,Classificacao!D55)</f>
        <v>#VALUE!</v>
      </c>
      <c r="N121" s="151" t="e">
        <f ca="1">somaCodigoCartaoCreditoParceladoProximoMes(6,Classificacao!D55)</f>
        <v>#VALUE!</v>
      </c>
      <c r="O121" s="153" t="e">
        <f ca="1">somaCodigoCartaoCredito(6,Classificacao!D55)</f>
        <v>#VALUE!</v>
      </c>
      <c r="P121" s="151" t="e">
        <f ca="1">somaCodigoCartaoCreditoParceladoProximoMes(7,Classificacao!D55)</f>
        <v>#VALUE!</v>
      </c>
      <c r="Q121" s="153" t="e">
        <f ca="1">somaCodigoCartaoCredito(7,Classificacao!D55)</f>
        <v>#VALUE!</v>
      </c>
      <c r="R121" s="151" t="e">
        <f ca="1">somaCodigoCartaoCreditoParceladoProximoMes(8,Classificacao!D55)</f>
        <v>#VALUE!</v>
      </c>
      <c r="S121" s="153" t="e">
        <f ca="1">somaCodigoCartaoCredito(8,Classificacao!D55)</f>
        <v>#VALUE!</v>
      </c>
      <c r="T121" s="151" t="e">
        <f ca="1">somaCodigoCartaoCreditoParceladoProximoMes(9,Classificacao!D55)</f>
        <v>#VALUE!</v>
      </c>
      <c r="U121" s="153" t="e">
        <f ca="1">somaCodigoCartaoCredito(9,Classificacao!D55)</f>
        <v>#VALUE!</v>
      </c>
      <c r="V121" s="151" t="e">
        <f ca="1">somaCodigoCartaoCreditoParceladoProximoMes(10,Classificacao!D55)</f>
        <v>#VALUE!</v>
      </c>
      <c r="W121" s="153" t="e">
        <f ca="1">somaCodigoCartaoCredito(10,Classificacao!D55)</f>
        <v>#VALUE!</v>
      </c>
      <c r="X121" s="151" t="e">
        <f ca="1">somaCodigoCartaoCreditoParceladoProximoMes(11,Classificacao!D55)</f>
        <v>#VALUE!</v>
      </c>
      <c r="Y121" s="153" t="e">
        <f ca="1">somaCodigoCartaoCredito(11,Classificacao!D55)</f>
        <v>#VALUE!</v>
      </c>
      <c r="Z121" s="151" t="e">
        <f ca="1">somaCodigoCartaoCreditoParceladoProximoMes(12,Classificacao!D55)</f>
        <v>#VALUE!</v>
      </c>
      <c r="AA121" s="153" t="e">
        <f ca="1">somaCodigoCartaoCredito(12,Classificacao!D55)</f>
        <v>#VALUE!</v>
      </c>
      <c r="AB121" s="6"/>
      <c r="AC121" s="134"/>
      <c r="AE121" s="105"/>
      <c r="AF121" s="124" t="e">
        <f t="shared" ca="1" si="3"/>
        <v>#VALUE!</v>
      </c>
    </row>
    <row r="122" spans="1:32" ht="13.5" customHeight="1" outlineLevel="1" thickBot="1">
      <c r="A122" s="134"/>
      <c r="B122" s="6"/>
      <c r="C122" s="347"/>
      <c r="D122" s="533">
        <f ca="1">somaCodigoCartaoCreditoParceladoProximoMes(1,Classificacao!D56)</f>
        <v>0</v>
      </c>
      <c r="E122" s="534">
        <f ca="1">somaCodigoCartaoCredito(1,Classificacao!D56)</f>
        <v>0</v>
      </c>
      <c r="F122" s="533" t="e">
        <f ca="1">somaCodigoCartaoCreditoParceladoProximoMes(2,Classificacao!D56)</f>
        <v>#VALUE!</v>
      </c>
      <c r="G122" s="534" t="e">
        <f ca="1">somaCodigoCartaoCredito(2,Classificacao!D56)</f>
        <v>#VALUE!</v>
      </c>
      <c r="H122" s="533" t="e">
        <f ca="1">somaCodigoCartaoCreditoParceladoProximoMes(3,Classificacao!D56)</f>
        <v>#VALUE!</v>
      </c>
      <c r="I122" s="534" t="e">
        <f ca="1">somaCodigoCartaoCredito(3,Classificacao!D56)</f>
        <v>#VALUE!</v>
      </c>
      <c r="J122" s="533" t="e">
        <f ca="1">somaCodigoCartaoCreditoParceladoProximoMes(4,Classificacao!D56)</f>
        <v>#VALUE!</v>
      </c>
      <c r="K122" s="534" t="e">
        <f ca="1">somaCodigoCartaoCredito(4,Classificacao!D56)</f>
        <v>#VALUE!</v>
      </c>
      <c r="L122" s="533" t="e">
        <f ca="1">somaCodigoCartaoCreditoParceladoProximoMes(5,Classificacao!D56)</f>
        <v>#VALUE!</v>
      </c>
      <c r="M122" s="534" t="e">
        <f ca="1">somaCodigoCartaoCredito(5,Classificacao!D56)</f>
        <v>#VALUE!</v>
      </c>
      <c r="N122" s="533" t="e">
        <f ca="1">somaCodigoCartaoCreditoParceladoProximoMes(6,Classificacao!D56)</f>
        <v>#VALUE!</v>
      </c>
      <c r="O122" s="534" t="e">
        <f ca="1">somaCodigoCartaoCredito(6,Classificacao!D56)</f>
        <v>#VALUE!</v>
      </c>
      <c r="P122" s="533" t="e">
        <f ca="1">somaCodigoCartaoCreditoParceladoProximoMes(7,Classificacao!D56)</f>
        <v>#VALUE!</v>
      </c>
      <c r="Q122" s="534" t="e">
        <f ca="1">somaCodigoCartaoCredito(7,Classificacao!D56)</f>
        <v>#VALUE!</v>
      </c>
      <c r="R122" s="533" t="e">
        <f ca="1">somaCodigoCartaoCreditoParceladoProximoMes(8,Classificacao!D56)</f>
        <v>#VALUE!</v>
      </c>
      <c r="S122" s="534" t="e">
        <f ca="1">somaCodigoCartaoCredito(8,Classificacao!D56)</f>
        <v>#VALUE!</v>
      </c>
      <c r="T122" s="533" t="e">
        <f ca="1">somaCodigoCartaoCreditoParceladoProximoMes(9,Classificacao!D56)</f>
        <v>#VALUE!</v>
      </c>
      <c r="U122" s="534" t="e">
        <f ca="1">somaCodigoCartaoCredito(9,Classificacao!D56)</f>
        <v>#VALUE!</v>
      </c>
      <c r="V122" s="533" t="e">
        <f ca="1">somaCodigoCartaoCreditoParceladoProximoMes(10,Classificacao!D56)</f>
        <v>#VALUE!</v>
      </c>
      <c r="W122" s="534" t="e">
        <f ca="1">somaCodigoCartaoCredito(10,Classificacao!D56)</f>
        <v>#VALUE!</v>
      </c>
      <c r="X122" s="533" t="e">
        <f ca="1">somaCodigoCartaoCreditoParceladoProximoMes(11,Classificacao!D56)</f>
        <v>#VALUE!</v>
      </c>
      <c r="Y122" s="534" t="e">
        <f ca="1">somaCodigoCartaoCredito(11,Classificacao!D56)</f>
        <v>#VALUE!</v>
      </c>
      <c r="Z122" s="533" t="e">
        <f ca="1">somaCodigoCartaoCreditoParceladoProximoMes(12,Classificacao!D56)</f>
        <v>#VALUE!</v>
      </c>
      <c r="AA122" s="534" t="e">
        <f ca="1">somaCodigoCartaoCredito(12,Classificacao!D56)</f>
        <v>#VALUE!</v>
      </c>
      <c r="AB122" s="6"/>
      <c r="AC122" s="134"/>
      <c r="AE122" s="125"/>
      <c r="AF122" s="126" t="e">
        <f t="shared" ca="1" si="3"/>
        <v>#VALUE!</v>
      </c>
    </row>
    <row r="123" spans="1:32" s="333" customFormat="1" ht="3.75" customHeight="1" thickTop="1" thickBot="1">
      <c r="A123" s="332"/>
      <c r="D123" s="334">
        <v>0</v>
      </c>
      <c r="E123" s="334"/>
      <c r="F123" s="334">
        <v>0</v>
      </c>
      <c r="G123" s="334"/>
      <c r="H123" s="334">
        <v>0</v>
      </c>
      <c r="I123" s="334"/>
      <c r="J123" s="334">
        <v>0</v>
      </c>
      <c r="K123" s="334"/>
      <c r="L123" s="334">
        <v>0</v>
      </c>
      <c r="M123" s="334"/>
      <c r="N123" s="334">
        <v>0</v>
      </c>
      <c r="O123" s="334"/>
      <c r="P123" s="334">
        <v>0</v>
      </c>
      <c r="Q123" s="334"/>
      <c r="R123" s="334">
        <v>0</v>
      </c>
      <c r="S123" s="334"/>
      <c r="T123" s="334">
        <v>0</v>
      </c>
      <c r="U123" s="334"/>
      <c r="V123" s="334">
        <v>0</v>
      </c>
      <c r="W123" s="334"/>
      <c r="X123" s="334">
        <v>0</v>
      </c>
      <c r="Y123" s="334"/>
      <c r="Z123" s="334">
        <v>0</v>
      </c>
      <c r="AA123" s="334"/>
      <c r="AC123" s="332"/>
      <c r="AE123" s="335"/>
      <c r="AF123" s="335"/>
    </row>
    <row r="124" spans="1:32" ht="17.25" customHeight="1" thickBot="1">
      <c r="A124" s="134"/>
      <c r="B124" s="7"/>
      <c r="C124" s="168" t="s">
        <v>81</v>
      </c>
      <c r="D124" s="166">
        <f ca="1">D14+D36+D69</f>
        <v>0</v>
      </c>
      <c r="E124" s="167">
        <f t="shared" ref="E124:Z124" ca="1" si="4">E14+E36+E69</f>
        <v>0</v>
      </c>
      <c r="F124" s="166" t="e">
        <f t="shared" ca="1" si="4"/>
        <v>#VALUE!</v>
      </c>
      <c r="G124" s="167" t="e">
        <f t="shared" ca="1" si="4"/>
        <v>#VALUE!</v>
      </c>
      <c r="H124" s="166" t="e">
        <f t="shared" ca="1" si="4"/>
        <v>#VALUE!</v>
      </c>
      <c r="I124" s="167" t="e">
        <f t="shared" ca="1" si="4"/>
        <v>#VALUE!</v>
      </c>
      <c r="J124" s="166" t="e">
        <f t="shared" ca="1" si="4"/>
        <v>#VALUE!</v>
      </c>
      <c r="K124" s="167" t="e">
        <f ca="1">K14+K36+K69</f>
        <v>#VALUE!</v>
      </c>
      <c r="L124" s="166" t="e">
        <f ca="1">L14+L36+L69</f>
        <v>#VALUE!</v>
      </c>
      <c r="M124" s="167" t="e">
        <f ca="1">M14+M36+M69</f>
        <v>#VALUE!</v>
      </c>
      <c r="N124" s="166" t="e">
        <f t="shared" ca="1" si="4"/>
        <v>#VALUE!</v>
      </c>
      <c r="O124" s="167" t="e">
        <f t="shared" ca="1" si="4"/>
        <v>#VALUE!</v>
      </c>
      <c r="P124" s="166" t="e">
        <f ca="1">P14+P36+P69</f>
        <v>#VALUE!</v>
      </c>
      <c r="Q124" s="167" t="e">
        <f ca="1">Q14+Q36+Q69</f>
        <v>#VALUE!</v>
      </c>
      <c r="R124" s="166" t="e">
        <f t="shared" ca="1" si="4"/>
        <v>#VALUE!</v>
      </c>
      <c r="S124" s="167" t="e">
        <f ca="1">S14+S36+S69</f>
        <v>#VALUE!</v>
      </c>
      <c r="T124" s="166" t="e">
        <f t="shared" ca="1" si="4"/>
        <v>#VALUE!</v>
      </c>
      <c r="U124" s="167" t="e">
        <f ca="1">U14+U36+U69</f>
        <v>#VALUE!</v>
      </c>
      <c r="V124" s="166" t="e">
        <f t="shared" ca="1" si="4"/>
        <v>#VALUE!</v>
      </c>
      <c r="W124" s="167" t="e">
        <f t="shared" ca="1" si="4"/>
        <v>#VALUE!</v>
      </c>
      <c r="X124" s="166" t="e">
        <f t="shared" ca="1" si="4"/>
        <v>#VALUE!</v>
      </c>
      <c r="Y124" s="167" t="e">
        <f ca="1">Y14+Y36+Y69</f>
        <v>#VALUE!</v>
      </c>
      <c r="Z124" s="166" t="e">
        <f t="shared" ca="1" si="4"/>
        <v>#VALUE!</v>
      </c>
      <c r="AA124" s="167" t="e">
        <f ca="1">AA14+AA36+AA69</f>
        <v>#VALUE!</v>
      </c>
      <c r="AB124" s="7"/>
      <c r="AC124" s="134"/>
      <c r="AE124" s="128"/>
      <c r="AF124" s="129"/>
    </row>
    <row r="125" spans="1:32" ht="3" customHeight="1" thickBot="1">
      <c r="A125" s="134"/>
      <c r="B125" s="7"/>
      <c r="C125" s="115"/>
      <c r="D125" s="162">
        <v>0</v>
      </c>
      <c r="E125" s="163"/>
      <c r="F125" s="163">
        <v>0</v>
      </c>
      <c r="G125" s="163"/>
      <c r="H125" s="163">
        <v>0</v>
      </c>
      <c r="I125" s="163"/>
      <c r="J125" s="163">
        <v>0</v>
      </c>
      <c r="K125" s="163"/>
      <c r="L125" s="163">
        <v>0</v>
      </c>
      <c r="M125" s="164"/>
      <c r="N125" s="164">
        <v>0</v>
      </c>
      <c r="O125" s="163"/>
      <c r="P125" s="163">
        <v>0</v>
      </c>
      <c r="Q125" s="163"/>
      <c r="R125" s="163"/>
      <c r="S125" s="163"/>
      <c r="T125" s="163"/>
      <c r="U125" s="163"/>
      <c r="V125" s="163">
        <v>0</v>
      </c>
      <c r="W125" s="163"/>
      <c r="X125" s="163">
        <v>0</v>
      </c>
      <c r="Y125" s="163"/>
      <c r="Z125" s="163">
        <v>0</v>
      </c>
      <c r="AA125" s="165"/>
      <c r="AB125" s="7"/>
      <c r="AC125" s="134"/>
      <c r="AE125" s="6"/>
      <c r="AF125" s="7"/>
    </row>
    <row r="126" spans="1:32" ht="14.25" customHeight="1" thickBot="1">
      <c r="A126" s="134"/>
      <c r="B126" s="7"/>
      <c r="C126" s="168" t="s">
        <v>82</v>
      </c>
      <c r="D126" s="166">
        <f ca="1">D8-D124</f>
        <v>0</v>
      </c>
      <c r="E126" s="167">
        <f ca="1">D8-E124</f>
        <v>0</v>
      </c>
      <c r="F126" s="166" t="e">
        <f ca="1">F8-F124</f>
        <v>#VALUE!</v>
      </c>
      <c r="G126" s="167" t="e">
        <f ca="1">F8-G124</f>
        <v>#VALUE!</v>
      </c>
      <c r="H126" s="166" t="e">
        <f ca="1">H8-H124</f>
        <v>#VALUE!</v>
      </c>
      <c r="I126" s="167" t="e">
        <f ca="1">H8-I124</f>
        <v>#VALUE!</v>
      </c>
      <c r="J126" s="166" t="e">
        <f ca="1">J8-J124</f>
        <v>#VALUE!</v>
      </c>
      <c r="K126" s="167" t="e">
        <f ca="1">J8-K124</f>
        <v>#VALUE!</v>
      </c>
      <c r="L126" s="166" t="e">
        <f ca="1">L8-L124</f>
        <v>#VALUE!</v>
      </c>
      <c r="M126" s="167" t="e">
        <f ca="1">L8-M124</f>
        <v>#VALUE!</v>
      </c>
      <c r="N126" s="166" t="e">
        <f ca="1">N8-N124</f>
        <v>#VALUE!</v>
      </c>
      <c r="O126" s="167" t="e">
        <f ca="1">N8-O124</f>
        <v>#VALUE!</v>
      </c>
      <c r="P126" s="166" t="e">
        <f ca="1">P8-P124</f>
        <v>#VALUE!</v>
      </c>
      <c r="Q126" s="167" t="e">
        <f ca="1">P8-Q124</f>
        <v>#VALUE!</v>
      </c>
      <c r="R126" s="166" t="e">
        <f ca="1">R8-R124</f>
        <v>#VALUE!</v>
      </c>
      <c r="S126" s="167" t="e">
        <f ca="1">R8-S124</f>
        <v>#VALUE!</v>
      </c>
      <c r="T126" s="166" t="e">
        <f ca="1">T8-T124</f>
        <v>#VALUE!</v>
      </c>
      <c r="U126" s="167" t="e">
        <f ca="1">T8-U124</f>
        <v>#VALUE!</v>
      </c>
      <c r="V126" s="166" t="e">
        <f ca="1">V8-V124</f>
        <v>#VALUE!</v>
      </c>
      <c r="W126" s="167" t="e">
        <f ca="1">V8-W124</f>
        <v>#VALUE!</v>
      </c>
      <c r="X126" s="166" t="e">
        <f ca="1">X8-X124</f>
        <v>#VALUE!</v>
      </c>
      <c r="Y126" s="167" t="e">
        <f ca="1">X8-Y124</f>
        <v>#VALUE!</v>
      </c>
      <c r="Z126" s="166" t="e">
        <f ca="1">Z8-Z124</f>
        <v>#VALUE!</v>
      </c>
      <c r="AA126" s="167" t="e">
        <f ca="1">Z8-AA124</f>
        <v>#VALUE!</v>
      </c>
      <c r="AB126" s="7"/>
      <c r="AC126" s="134"/>
      <c r="AE126" s="130"/>
      <c r="AF126" s="131"/>
    </row>
    <row r="127" spans="1:32" ht="3" customHeight="1" thickBot="1">
      <c r="A127" s="134"/>
      <c r="B127" s="7"/>
      <c r="C127" s="115"/>
      <c r="D127" s="162">
        <v>0</v>
      </c>
      <c r="E127" s="163"/>
      <c r="F127" s="163">
        <v>0</v>
      </c>
      <c r="G127" s="163"/>
      <c r="H127" s="163">
        <v>0</v>
      </c>
      <c r="I127" s="163"/>
      <c r="J127" s="163">
        <v>0</v>
      </c>
      <c r="K127" s="163"/>
      <c r="L127" s="163">
        <v>0</v>
      </c>
      <c r="M127" s="164"/>
      <c r="N127" s="164">
        <v>0</v>
      </c>
      <c r="O127" s="163"/>
      <c r="P127" s="163">
        <v>0</v>
      </c>
      <c r="Q127" s="163"/>
      <c r="R127" s="163"/>
      <c r="S127" s="163"/>
      <c r="T127" s="163"/>
      <c r="U127" s="163"/>
      <c r="V127" s="163">
        <v>0</v>
      </c>
      <c r="W127" s="163"/>
      <c r="X127" s="163">
        <v>0</v>
      </c>
      <c r="Y127" s="163"/>
      <c r="Z127" s="163">
        <v>0</v>
      </c>
      <c r="AA127" s="165"/>
      <c r="AB127" s="7"/>
      <c r="AC127" s="134"/>
      <c r="AE127" s="6"/>
      <c r="AF127" s="7"/>
    </row>
    <row r="128" spans="1:32" ht="14.25" customHeight="1" thickBot="1">
      <c r="A128" s="134"/>
      <c r="B128" s="7"/>
      <c r="C128" s="168" t="s">
        <v>83</v>
      </c>
      <c r="D128" s="166">
        <f ca="1">D126+D10</f>
        <v>0</v>
      </c>
      <c r="E128" s="167">
        <f ca="1">E126+D10</f>
        <v>0</v>
      </c>
      <c r="F128" s="166" t="e">
        <f ca="1">F126+F10</f>
        <v>#VALUE!</v>
      </c>
      <c r="G128" s="167" t="e">
        <f ca="1">G126+F10</f>
        <v>#VALUE!</v>
      </c>
      <c r="H128" s="166" t="e">
        <f ca="1">H126+H10</f>
        <v>#VALUE!</v>
      </c>
      <c r="I128" s="167" t="e">
        <f ca="1">I126+H10</f>
        <v>#VALUE!</v>
      </c>
      <c r="J128" s="166" t="e">
        <f ca="1">J126+J10</f>
        <v>#VALUE!</v>
      </c>
      <c r="K128" s="167" t="e">
        <f ca="1">K126+J10</f>
        <v>#VALUE!</v>
      </c>
      <c r="L128" s="166" t="e">
        <f ca="1">L126+L10</f>
        <v>#VALUE!</v>
      </c>
      <c r="M128" s="167" t="e">
        <f ca="1">M126+L10</f>
        <v>#VALUE!</v>
      </c>
      <c r="N128" s="166" t="e">
        <f ca="1">N126+N10</f>
        <v>#VALUE!</v>
      </c>
      <c r="O128" s="167" t="e">
        <f ca="1">O126+N10</f>
        <v>#VALUE!</v>
      </c>
      <c r="P128" s="166" t="e">
        <f ca="1">P126+P10</f>
        <v>#VALUE!</v>
      </c>
      <c r="Q128" s="167" t="e">
        <f ca="1">Q126+P10</f>
        <v>#VALUE!</v>
      </c>
      <c r="R128" s="166" t="e">
        <f ca="1">R126+R10</f>
        <v>#VALUE!</v>
      </c>
      <c r="S128" s="167" t="e">
        <f ca="1">S126+R10</f>
        <v>#VALUE!</v>
      </c>
      <c r="T128" s="166" t="e">
        <f t="shared" ref="T128:AA128" ca="1" si="5">T126+T10</f>
        <v>#VALUE!</v>
      </c>
      <c r="U128" s="167" t="e">
        <f ca="1">T10+U126</f>
        <v>#VALUE!</v>
      </c>
      <c r="V128" s="166" t="e">
        <f t="shared" ca="1" si="5"/>
        <v>#VALUE!</v>
      </c>
      <c r="W128" s="167" t="e">
        <f ca="1">V10+W126</f>
        <v>#VALUE!</v>
      </c>
      <c r="X128" s="166" t="e">
        <f t="shared" ca="1" si="5"/>
        <v>#VALUE!</v>
      </c>
      <c r="Y128" s="167" t="e">
        <f t="shared" ca="1" si="5"/>
        <v>#VALUE!</v>
      </c>
      <c r="Z128" s="166" t="e">
        <f t="shared" ca="1" si="5"/>
        <v>#VALUE!</v>
      </c>
      <c r="AA128" s="167" t="e">
        <f t="shared" ca="1" si="5"/>
        <v>#VALUE!</v>
      </c>
      <c r="AB128" s="7"/>
      <c r="AC128" s="134"/>
      <c r="AE128" s="130"/>
      <c r="AF128" s="131"/>
    </row>
    <row r="129" spans="1:32" ht="6.5" customHeight="1">
      <c r="A129" s="134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6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134"/>
      <c r="AE129" s="6"/>
      <c r="AF129" s="7"/>
    </row>
    <row r="130" spans="1:32" ht="4.5" customHeight="1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5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E130" s="6"/>
      <c r="AF130" s="7"/>
    </row>
    <row r="131" spans="1:32" ht="4.5" customHeight="1">
      <c r="B131" s="7"/>
      <c r="C131" s="7"/>
      <c r="D131" s="7"/>
      <c r="E131" s="7"/>
      <c r="F131" s="7"/>
      <c r="G131" s="7"/>
      <c r="H131" s="7"/>
      <c r="I131" s="565"/>
      <c r="J131" s="565"/>
      <c r="K131" s="103"/>
      <c r="L131" s="6"/>
      <c r="M131" s="6"/>
      <c r="N131" s="7"/>
      <c r="O131" s="7"/>
      <c r="P131" s="117"/>
      <c r="Q131" s="11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E131" s="7"/>
      <c r="AF131" s="7"/>
    </row>
    <row r="132" spans="1:32" ht="4.5" customHeight="1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5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E132" s="6"/>
      <c r="AF132" s="7"/>
    </row>
    <row r="133" spans="1:32" ht="6.5" customHeight="1">
      <c r="A133" s="134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6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134"/>
      <c r="AE133" s="6"/>
      <c r="AF133" s="7"/>
    </row>
    <row r="134" spans="1:32" s="115" customFormat="1" ht="15" customHeight="1">
      <c r="A134" s="330"/>
      <c r="B134" s="175"/>
      <c r="C134" s="326" t="s">
        <v>130</v>
      </c>
      <c r="D134" s="327" t="e">
        <f ca="1">D14/D124</f>
        <v>#DIV/0!</v>
      </c>
      <c r="E134" s="327" t="e">
        <f ca="1">E14/E124</f>
        <v>#DIV/0!</v>
      </c>
      <c r="F134" s="327" t="e">
        <f ca="1">F14/F124</f>
        <v>#VALUE!</v>
      </c>
      <c r="G134" s="327" t="e">
        <f ca="1">G14/G124</f>
        <v>#VALUE!</v>
      </c>
      <c r="H134" s="327" t="e">
        <f t="shared" ref="H134:M134" ca="1" si="6">H14/H124</f>
        <v>#VALUE!</v>
      </c>
      <c r="I134" s="327" t="e">
        <f t="shared" ca="1" si="6"/>
        <v>#VALUE!</v>
      </c>
      <c r="J134" s="327" t="e">
        <f t="shared" ca="1" si="6"/>
        <v>#VALUE!</v>
      </c>
      <c r="K134" s="327" t="e">
        <f t="shared" ca="1" si="6"/>
        <v>#VALUE!</v>
      </c>
      <c r="L134" s="327" t="e">
        <f ca="1">L14/L124</f>
        <v>#VALUE!</v>
      </c>
      <c r="M134" s="327" t="e">
        <f t="shared" ca="1" si="6"/>
        <v>#VALUE!</v>
      </c>
      <c r="N134" s="327" t="e">
        <f t="shared" ref="N134:S134" ca="1" si="7">N14/N124</f>
        <v>#VALUE!</v>
      </c>
      <c r="O134" s="327" t="e">
        <f t="shared" ca="1" si="7"/>
        <v>#VALUE!</v>
      </c>
      <c r="P134" s="327" t="e">
        <f t="shared" ca="1" si="7"/>
        <v>#VALUE!</v>
      </c>
      <c r="Q134" s="327" t="e">
        <f t="shared" ca="1" si="7"/>
        <v>#VALUE!</v>
      </c>
      <c r="R134" s="327" t="e">
        <f t="shared" ca="1" si="7"/>
        <v>#VALUE!</v>
      </c>
      <c r="S134" s="327" t="e">
        <f t="shared" ca="1" si="7"/>
        <v>#VALUE!</v>
      </c>
      <c r="T134" s="327" t="e">
        <f ca="1">T14/T124</f>
        <v>#VALUE!</v>
      </c>
      <c r="U134" s="327" t="e">
        <f ca="1">U14/U124</f>
        <v>#VALUE!</v>
      </c>
      <c r="V134" s="327" t="e">
        <f t="shared" ref="V134:AA134" ca="1" si="8">V14/V124</f>
        <v>#VALUE!</v>
      </c>
      <c r="W134" s="327" t="e">
        <f t="shared" ca="1" si="8"/>
        <v>#VALUE!</v>
      </c>
      <c r="X134" s="327" t="e">
        <f t="shared" ca="1" si="8"/>
        <v>#VALUE!</v>
      </c>
      <c r="Y134" s="327" t="e">
        <f t="shared" ca="1" si="8"/>
        <v>#VALUE!</v>
      </c>
      <c r="Z134" s="327" t="e">
        <f t="shared" ca="1" si="8"/>
        <v>#VALUE!</v>
      </c>
      <c r="AA134" s="327" t="e">
        <f t="shared" ca="1" si="8"/>
        <v>#VALUE!</v>
      </c>
      <c r="AB134" s="175"/>
      <c r="AC134" s="330"/>
      <c r="AE134" s="176"/>
    </row>
    <row r="135" spans="1:32" ht="15" customHeight="1">
      <c r="A135" s="134"/>
      <c r="B135" s="116"/>
      <c r="C135" s="326" t="s">
        <v>131</v>
      </c>
      <c r="D135" s="327" t="e">
        <f ca="1">D36/D124</f>
        <v>#DIV/0!</v>
      </c>
      <c r="E135" s="327" t="e">
        <f ca="1">E36/E124</f>
        <v>#DIV/0!</v>
      </c>
      <c r="F135" s="327" t="e">
        <f ca="1">F36/F124</f>
        <v>#VALUE!</v>
      </c>
      <c r="G135" s="327" t="e">
        <f ca="1">G36/G124</f>
        <v>#VALUE!</v>
      </c>
      <c r="H135" s="327" t="e">
        <f t="shared" ref="H135:M135" ca="1" si="9">H36/H124</f>
        <v>#VALUE!</v>
      </c>
      <c r="I135" s="327" t="e">
        <f t="shared" ca="1" si="9"/>
        <v>#VALUE!</v>
      </c>
      <c r="J135" s="327" t="e">
        <f t="shared" ca="1" si="9"/>
        <v>#VALUE!</v>
      </c>
      <c r="K135" s="327" t="e">
        <f ca="1">K36/K124</f>
        <v>#VALUE!</v>
      </c>
      <c r="L135" s="327" t="e">
        <f t="shared" ca="1" si="9"/>
        <v>#VALUE!</v>
      </c>
      <c r="M135" s="327" t="e">
        <f t="shared" ca="1" si="9"/>
        <v>#VALUE!</v>
      </c>
      <c r="N135" s="327" t="e">
        <f t="shared" ref="N135:S135" ca="1" si="10">N36/N124</f>
        <v>#VALUE!</v>
      </c>
      <c r="O135" s="327" t="e">
        <f t="shared" ca="1" si="10"/>
        <v>#VALUE!</v>
      </c>
      <c r="P135" s="327" t="e">
        <f t="shared" ca="1" si="10"/>
        <v>#VALUE!</v>
      </c>
      <c r="Q135" s="327" t="e">
        <f t="shared" ca="1" si="10"/>
        <v>#VALUE!</v>
      </c>
      <c r="R135" s="327" t="e">
        <f t="shared" ca="1" si="10"/>
        <v>#VALUE!</v>
      </c>
      <c r="S135" s="327" t="e">
        <f t="shared" ca="1" si="10"/>
        <v>#VALUE!</v>
      </c>
      <c r="T135" s="327" t="e">
        <f ca="1">T36/T124</f>
        <v>#VALUE!</v>
      </c>
      <c r="U135" s="327" t="e">
        <f ca="1">U36/U124</f>
        <v>#VALUE!</v>
      </c>
      <c r="V135" s="327" t="e">
        <f t="shared" ref="V135:AA135" ca="1" si="11">V36/V124</f>
        <v>#VALUE!</v>
      </c>
      <c r="W135" s="327" t="e">
        <f t="shared" ca="1" si="11"/>
        <v>#VALUE!</v>
      </c>
      <c r="X135" s="327" t="e">
        <f t="shared" ca="1" si="11"/>
        <v>#VALUE!</v>
      </c>
      <c r="Y135" s="327" t="e">
        <f t="shared" ca="1" si="11"/>
        <v>#VALUE!</v>
      </c>
      <c r="Z135" s="327" t="e">
        <f t="shared" ca="1" si="11"/>
        <v>#VALUE!</v>
      </c>
      <c r="AA135" s="327" t="e">
        <f t="shared" ca="1" si="11"/>
        <v>#VALUE!</v>
      </c>
      <c r="AB135" s="116"/>
      <c r="AC135" s="134"/>
      <c r="AE135" s="7"/>
      <c r="AF135" s="7"/>
    </row>
    <row r="136" spans="1:32" ht="15" customHeight="1">
      <c r="A136" s="134"/>
      <c r="B136" s="116"/>
      <c r="C136" s="326" t="s">
        <v>132</v>
      </c>
      <c r="D136" s="327" t="e">
        <f ca="1">D16/D69</f>
        <v>#DIV/0!</v>
      </c>
      <c r="E136" s="327" t="e">
        <f ca="1">E69/E124</f>
        <v>#DIV/0!</v>
      </c>
      <c r="F136" s="327" t="e">
        <f ca="1">F16/F69</f>
        <v>#VALUE!</v>
      </c>
      <c r="G136" s="327" t="e">
        <f ca="1">G69/G124</f>
        <v>#VALUE!</v>
      </c>
      <c r="H136" s="327" t="e">
        <f ca="1">H16/H69</f>
        <v>#VALUE!</v>
      </c>
      <c r="I136" s="327" t="e">
        <f t="shared" ref="I136:O136" ca="1" si="12">I69/I124</f>
        <v>#VALUE!</v>
      </c>
      <c r="J136" s="327" t="e">
        <f t="shared" ca="1" si="12"/>
        <v>#VALUE!</v>
      </c>
      <c r="K136" s="327" t="e">
        <f t="shared" ca="1" si="12"/>
        <v>#VALUE!</v>
      </c>
      <c r="L136" s="327" t="e">
        <f t="shared" ca="1" si="12"/>
        <v>#VALUE!</v>
      </c>
      <c r="M136" s="327" t="e">
        <f t="shared" ca="1" si="12"/>
        <v>#VALUE!</v>
      </c>
      <c r="N136" s="327" t="e">
        <f t="shared" ca="1" si="12"/>
        <v>#VALUE!</v>
      </c>
      <c r="O136" s="327" t="e">
        <f t="shared" ca="1" si="12"/>
        <v>#VALUE!</v>
      </c>
      <c r="P136" s="327" t="e">
        <f t="shared" ref="P136:U136" ca="1" si="13">P69/P124</f>
        <v>#VALUE!</v>
      </c>
      <c r="Q136" s="327" t="e">
        <f t="shared" ca="1" si="13"/>
        <v>#VALUE!</v>
      </c>
      <c r="R136" s="327" t="e">
        <f t="shared" ca="1" si="13"/>
        <v>#VALUE!</v>
      </c>
      <c r="S136" s="327" t="e">
        <f t="shared" ca="1" si="13"/>
        <v>#VALUE!</v>
      </c>
      <c r="T136" s="327" t="e">
        <f t="shared" ca="1" si="13"/>
        <v>#VALUE!</v>
      </c>
      <c r="U136" s="327" t="e">
        <f t="shared" ca="1" si="13"/>
        <v>#VALUE!</v>
      </c>
      <c r="V136" s="327" t="e">
        <f t="shared" ref="V136:AA136" ca="1" si="14">V69/V124</f>
        <v>#VALUE!</v>
      </c>
      <c r="W136" s="327" t="e">
        <f t="shared" ca="1" si="14"/>
        <v>#VALUE!</v>
      </c>
      <c r="X136" s="327" t="e">
        <f t="shared" ca="1" si="14"/>
        <v>#VALUE!</v>
      </c>
      <c r="Y136" s="327" t="e">
        <f t="shared" ca="1" si="14"/>
        <v>#VALUE!</v>
      </c>
      <c r="Z136" s="327" t="e">
        <f t="shared" ca="1" si="14"/>
        <v>#VALUE!</v>
      </c>
      <c r="AA136" s="327" t="e">
        <f t="shared" ca="1" si="14"/>
        <v>#VALUE!</v>
      </c>
      <c r="AB136" s="116"/>
      <c r="AC136" s="134"/>
      <c r="AE136" s="7"/>
      <c r="AF136" s="7"/>
    </row>
    <row r="137" spans="1:32" ht="15" customHeight="1">
      <c r="A137" s="134"/>
      <c r="B137" s="7"/>
      <c r="C137" s="328" t="s">
        <v>133</v>
      </c>
      <c r="D137" s="329" t="e">
        <f ca="1">D124/D8</f>
        <v>#DIV/0!</v>
      </c>
      <c r="E137" s="329" t="e">
        <f ca="1">E124/LiquidoMarco</f>
        <v>#DIV/0!</v>
      </c>
      <c r="F137" s="329" t="e">
        <f ca="1">F124/F8</f>
        <v>#VALUE!</v>
      </c>
      <c r="G137" s="329" t="e">
        <f ca="1">G124/LiquidoMarco</f>
        <v>#VALUE!</v>
      </c>
      <c r="H137" s="329" t="e">
        <f ca="1">H124/H8</f>
        <v>#VALUE!</v>
      </c>
      <c r="I137" s="329" t="e">
        <f ca="1">I124/LiquidoMarco</f>
        <v>#VALUE!</v>
      </c>
      <c r="J137" s="329" t="e">
        <f ca="1">J124/J8</f>
        <v>#VALUE!</v>
      </c>
      <c r="K137" s="329" t="e">
        <f ca="1">K124/LiquidoAbril</f>
        <v>#VALUE!</v>
      </c>
      <c r="L137" s="329" t="e">
        <f ca="1">L124/L8</f>
        <v>#VALUE!</v>
      </c>
      <c r="M137" s="329" t="e">
        <f ca="1">M124/LiquidoAbril</f>
        <v>#VALUE!</v>
      </c>
      <c r="N137" s="329" t="e">
        <f ca="1">N124/N8</f>
        <v>#VALUE!</v>
      </c>
      <c r="O137" s="329" t="e">
        <f ca="1">O124/LiquidoAbril</f>
        <v>#VALUE!</v>
      </c>
      <c r="P137" s="329" t="e">
        <f ca="1">P124/P8</f>
        <v>#VALUE!</v>
      </c>
      <c r="Q137" s="329" t="e">
        <f ca="1">Q124/LiquidoAbril</f>
        <v>#VALUE!</v>
      </c>
      <c r="R137" s="329" t="e">
        <f ca="1">R124/R8</f>
        <v>#VALUE!</v>
      </c>
      <c r="S137" s="329" t="e">
        <f ca="1">S124/LiquidoAbril</f>
        <v>#VALUE!</v>
      </c>
      <c r="T137" s="329" t="e">
        <f ca="1">T124/T8</f>
        <v>#VALUE!</v>
      </c>
      <c r="U137" s="329" t="e">
        <f ca="1">U124/LiquidoAbril</f>
        <v>#VALUE!</v>
      </c>
      <c r="V137" s="329" t="e">
        <f ca="1">V124/V8</f>
        <v>#VALUE!</v>
      </c>
      <c r="W137" s="329" t="e">
        <f ca="1">W124/LiquidoAbril</f>
        <v>#VALUE!</v>
      </c>
      <c r="X137" s="329" t="e">
        <f ca="1">X124/X8</f>
        <v>#VALUE!</v>
      </c>
      <c r="Y137" s="329" t="e">
        <f ca="1">Y124/LiquidoAbril</f>
        <v>#VALUE!</v>
      </c>
      <c r="Z137" s="329" t="e">
        <f ca="1">Z124/Z8</f>
        <v>#VALUE!</v>
      </c>
      <c r="AA137" s="329" t="e">
        <f ca="1">AA124/LiquidoAbril</f>
        <v>#VALUE!</v>
      </c>
      <c r="AB137" s="7"/>
      <c r="AC137" s="134"/>
      <c r="AE137" s="177"/>
      <c r="AF137" s="7"/>
    </row>
    <row r="138" spans="1:32" ht="6.5" customHeight="1">
      <c r="A138" s="134"/>
      <c r="B138" s="7"/>
      <c r="C138" s="116"/>
      <c r="D138" s="116"/>
      <c r="E138" s="116"/>
      <c r="F138" s="118"/>
      <c r="G138" s="7"/>
      <c r="H138" s="7"/>
      <c r="I138" s="7"/>
      <c r="J138" s="7"/>
      <c r="K138" s="7"/>
      <c r="L138" s="7"/>
      <c r="M138" s="6"/>
      <c r="N138" s="6"/>
      <c r="O138" s="7"/>
      <c r="P138" s="119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134"/>
      <c r="AE138" s="6"/>
      <c r="AF138" s="7"/>
    </row>
    <row r="139" spans="1:32" ht="4.5" customHeight="1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5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E139" s="6"/>
      <c r="AF139" s="7"/>
    </row>
    <row r="140" spans="1:32" ht="6.75" customHeight="1">
      <c r="B140" s="7"/>
      <c r="C140" s="7"/>
      <c r="D140" s="109"/>
      <c r="E140" s="116"/>
      <c r="F140" s="116"/>
      <c r="G140" s="7"/>
      <c r="H140" s="7"/>
      <c r="I140" s="7"/>
      <c r="J140" s="7"/>
      <c r="K140" s="7"/>
      <c r="L140" s="7"/>
      <c r="M140" s="6"/>
      <c r="N140" s="6"/>
      <c r="O140" s="7"/>
      <c r="P140" s="110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E140" s="6"/>
      <c r="AF140" s="7"/>
    </row>
    <row r="141" spans="1:32" ht="4.5" customHeight="1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5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E141" s="6"/>
      <c r="AF141" s="7"/>
    </row>
    <row r="142" spans="1:32" ht="6.5" customHeight="1">
      <c r="A142" s="134"/>
      <c r="B142" s="7"/>
      <c r="C142" s="116"/>
      <c r="D142" s="116"/>
      <c r="E142" s="116"/>
      <c r="F142" s="118"/>
      <c r="G142" s="7"/>
      <c r="H142" s="7"/>
      <c r="I142" s="7"/>
      <c r="J142" s="7"/>
      <c r="K142" s="7"/>
      <c r="L142" s="7"/>
      <c r="M142" s="6"/>
      <c r="N142" s="6"/>
      <c r="O142" s="7"/>
      <c r="P142" s="119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134"/>
      <c r="AE142" s="6"/>
      <c r="AF142" s="7"/>
    </row>
    <row r="143" spans="1:32">
      <c r="A143" s="134"/>
      <c r="B143" s="7"/>
      <c r="C143" s="326" t="s">
        <v>126</v>
      </c>
      <c r="D143" s="553">
        <f ca="1">TODAY()</f>
        <v>43442</v>
      </c>
      <c r="E143" s="554"/>
      <c r="F143" s="553">
        <f ca="1">TODAY()</f>
        <v>43442</v>
      </c>
      <c r="G143" s="554"/>
      <c r="H143" s="553">
        <f ca="1">TODAY()</f>
        <v>43442</v>
      </c>
      <c r="I143" s="554"/>
      <c r="J143" s="553">
        <f ca="1">TODAY()</f>
        <v>43442</v>
      </c>
      <c r="K143" s="554"/>
      <c r="L143" s="553">
        <f ca="1">TODAY()</f>
        <v>43442</v>
      </c>
      <c r="M143" s="554"/>
      <c r="N143" s="553">
        <f ca="1">TODAY()</f>
        <v>43442</v>
      </c>
      <c r="O143" s="554"/>
      <c r="P143" s="553">
        <f ca="1">TODAY()</f>
        <v>43442</v>
      </c>
      <c r="Q143" s="554"/>
      <c r="R143" s="553">
        <f ca="1">TODAY()</f>
        <v>43442</v>
      </c>
      <c r="S143" s="554"/>
      <c r="T143" s="553">
        <f ca="1">TODAY()</f>
        <v>43442</v>
      </c>
      <c r="U143" s="554"/>
      <c r="V143" s="553">
        <f ca="1">TODAY()</f>
        <v>43442</v>
      </c>
      <c r="W143" s="554"/>
      <c r="X143" s="553">
        <f ca="1">TODAY()</f>
        <v>43442</v>
      </c>
      <c r="Y143" s="554"/>
      <c r="Z143" s="553">
        <f ca="1">TODAY()</f>
        <v>43442</v>
      </c>
      <c r="AA143" s="554"/>
      <c r="AB143" s="7"/>
      <c r="AC143" s="134"/>
      <c r="AE143" s="6"/>
      <c r="AF143" s="7"/>
    </row>
    <row r="144" spans="1:32">
      <c r="A144" s="134"/>
      <c r="B144" s="7"/>
      <c r="C144" s="326" t="s">
        <v>141</v>
      </c>
      <c r="D144" s="557">
        <v>42014</v>
      </c>
      <c r="E144" s="558"/>
      <c r="F144" s="557">
        <v>42045</v>
      </c>
      <c r="G144" s="558"/>
      <c r="H144" s="557">
        <v>42439</v>
      </c>
      <c r="I144" s="558"/>
      <c r="J144" s="557">
        <v>42104</v>
      </c>
      <c r="K144" s="558"/>
      <c r="L144" s="557">
        <v>42134</v>
      </c>
      <c r="M144" s="558"/>
      <c r="N144" s="557">
        <v>42165</v>
      </c>
      <c r="O144" s="558"/>
      <c r="P144" s="557">
        <v>42195</v>
      </c>
      <c r="Q144" s="558"/>
      <c r="R144" s="557">
        <v>42226</v>
      </c>
      <c r="S144" s="558"/>
      <c r="T144" s="557">
        <v>42257</v>
      </c>
      <c r="U144" s="558"/>
      <c r="V144" s="557">
        <v>42287</v>
      </c>
      <c r="W144" s="558"/>
      <c r="X144" s="557">
        <v>42318</v>
      </c>
      <c r="Y144" s="558"/>
      <c r="Z144" s="557">
        <v>42348</v>
      </c>
      <c r="AA144" s="558"/>
      <c r="AB144" s="7"/>
      <c r="AC144" s="134"/>
      <c r="AE144" s="6"/>
      <c r="AF144" s="7"/>
    </row>
    <row r="145" spans="1:32">
      <c r="A145" s="134"/>
      <c r="B145" s="7"/>
      <c r="C145" s="326" t="s">
        <v>134</v>
      </c>
      <c r="D145" s="555">
        <f ca="1">D144-D143</f>
        <v>-1428</v>
      </c>
      <c r="E145" s="556"/>
      <c r="F145" s="555">
        <f ca="1">F144-F143</f>
        <v>-1397</v>
      </c>
      <c r="G145" s="556"/>
      <c r="H145" s="555">
        <f ca="1">H144-H143</f>
        <v>-1003</v>
      </c>
      <c r="I145" s="556"/>
      <c r="J145" s="555">
        <f ca="1">J144-J143</f>
        <v>-1338</v>
      </c>
      <c r="K145" s="556"/>
      <c r="L145" s="555">
        <f ca="1">L144-L143</f>
        <v>-1308</v>
      </c>
      <c r="M145" s="556"/>
      <c r="N145" s="555">
        <f ca="1">N144-N143</f>
        <v>-1277</v>
      </c>
      <c r="O145" s="556"/>
      <c r="P145" s="555">
        <f ca="1">P144-P143</f>
        <v>-1247</v>
      </c>
      <c r="Q145" s="556"/>
      <c r="R145" s="555">
        <f ca="1">R144-R143</f>
        <v>-1216</v>
      </c>
      <c r="S145" s="556"/>
      <c r="T145" s="555">
        <f ca="1">T144-T143</f>
        <v>-1185</v>
      </c>
      <c r="U145" s="556"/>
      <c r="V145" s="555">
        <f ca="1">V144-V143</f>
        <v>-1155</v>
      </c>
      <c r="W145" s="556"/>
      <c r="X145" s="555">
        <f ca="1">X144-X143</f>
        <v>-1124</v>
      </c>
      <c r="Y145" s="556"/>
      <c r="Z145" s="555">
        <f ca="1">Z144-Z143</f>
        <v>-1094</v>
      </c>
      <c r="AA145" s="556"/>
      <c r="AB145" s="7"/>
      <c r="AC145" s="134"/>
      <c r="AE145" s="6"/>
      <c r="AF145" s="7"/>
    </row>
    <row r="146" spans="1:32">
      <c r="A146" s="134"/>
      <c r="B146" s="7"/>
      <c r="C146" s="328" t="s">
        <v>135</v>
      </c>
      <c r="D146" s="551" t="str">
        <f ca="1">IF(D145&lt;=0,"Fechou Mes",(D69-E69)/D145)</f>
        <v>Fechou Mes</v>
      </c>
      <c r="E146" s="552"/>
      <c r="F146" s="551" t="str">
        <f ca="1">IF(F145&lt;=0,"Fechou Mes",(F69-G69)/F145)</f>
        <v>Fechou Mes</v>
      </c>
      <c r="G146" s="552"/>
      <c r="H146" s="551" t="str">
        <f ca="1">IF(H145&lt;=0,"Fechou Mes",(H69-I69)/H145)</f>
        <v>Fechou Mes</v>
      </c>
      <c r="I146" s="552"/>
      <c r="J146" s="551" t="str">
        <f ca="1">IF(J145&lt;=0,"Fechou Mes",(J69-K69)/J145)</f>
        <v>Fechou Mes</v>
      </c>
      <c r="K146" s="552"/>
      <c r="L146" s="551" t="str">
        <f ca="1">IF(L145&lt;=0,"Fechou Mes",(L69-M69)/L145)</f>
        <v>Fechou Mes</v>
      </c>
      <c r="M146" s="552"/>
      <c r="N146" s="551" t="str">
        <f ca="1">IF(N145&lt;=0,"Fechou Mes",(N69-O69)/N145)</f>
        <v>Fechou Mes</v>
      </c>
      <c r="O146" s="552"/>
      <c r="P146" s="551" t="str">
        <f ca="1">IF(P145&lt;=0,"Fechou Mes",(P69-Q69)/P145)</f>
        <v>Fechou Mes</v>
      </c>
      <c r="Q146" s="552"/>
      <c r="R146" s="551" t="str">
        <f ca="1">IF(R145&lt;=0,"Fechou Mes",(R69-S69)/R145)</f>
        <v>Fechou Mes</v>
      </c>
      <c r="S146" s="552"/>
      <c r="T146" s="551" t="str">
        <f ca="1">IF(T145&lt;=0,"Fechou Mes",(T69-U69)/T145)</f>
        <v>Fechou Mes</v>
      </c>
      <c r="U146" s="552"/>
      <c r="V146" s="551" t="str">
        <f ca="1">IF(V145&lt;=0,"Fechou Mes",(V69-W69)/V145)</f>
        <v>Fechou Mes</v>
      </c>
      <c r="W146" s="552"/>
      <c r="X146" s="551" t="str">
        <f ca="1">IF(X145&lt;=0,"Fechou Mes",(X69-Y69)/X145)</f>
        <v>Fechou Mes</v>
      </c>
      <c r="Y146" s="552"/>
      <c r="Z146" s="551" t="str">
        <f ca="1">IF(Z145&lt;=0,"Fechou Mes",(Z69-AA69)/Z145)</f>
        <v>Fechou Mes</v>
      </c>
      <c r="AA146" s="552"/>
      <c r="AB146" s="7"/>
      <c r="AC146" s="134"/>
      <c r="AE146" s="6"/>
      <c r="AF146" s="7"/>
    </row>
    <row r="147" spans="1:32" ht="6.5" customHeight="1">
      <c r="A147" s="134"/>
      <c r="B147" s="7"/>
      <c r="C147" s="116"/>
      <c r="D147" s="116"/>
      <c r="E147" s="116"/>
      <c r="F147" s="118"/>
      <c r="G147" s="7"/>
      <c r="H147" s="7"/>
      <c r="I147" s="7"/>
      <c r="J147" s="7"/>
      <c r="K147" s="7"/>
      <c r="L147" s="7"/>
      <c r="M147" s="6"/>
      <c r="N147" s="6"/>
      <c r="O147" s="7"/>
      <c r="P147" s="119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134"/>
      <c r="AE147" s="6"/>
      <c r="AF147" s="7"/>
    </row>
    <row r="148" spans="1:32" ht="4.5" customHeight="1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5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E148" s="6"/>
      <c r="AF148" s="7"/>
    </row>
    <row r="149" spans="1:32" ht="6.75" customHeight="1">
      <c r="B149" s="7"/>
      <c r="C149" s="7"/>
      <c r="D149" s="109"/>
      <c r="E149" s="116"/>
      <c r="F149" s="116"/>
      <c r="G149" s="7"/>
      <c r="H149" s="7"/>
      <c r="I149" s="7"/>
      <c r="J149" s="7"/>
      <c r="K149" s="7"/>
      <c r="L149" s="7"/>
      <c r="M149" s="6"/>
      <c r="N149" s="6"/>
      <c r="O149" s="7"/>
      <c r="P149" s="110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E149" s="6"/>
      <c r="AF149" s="7"/>
    </row>
    <row r="150" spans="1:32" ht="4.5" customHeight="1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5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E150" s="6"/>
      <c r="AF150" s="7"/>
    </row>
    <row r="151" spans="1:32" ht="6.5" customHeight="1">
      <c r="A151" s="134"/>
      <c r="B151" s="7"/>
      <c r="C151" s="116"/>
      <c r="D151" s="116"/>
      <c r="E151" s="116"/>
      <c r="F151" s="118"/>
      <c r="G151" s="7"/>
      <c r="H151" s="7"/>
      <c r="I151" s="7"/>
      <c r="J151" s="7"/>
      <c r="K151" s="7"/>
      <c r="L151" s="7"/>
      <c r="M151" s="6"/>
      <c r="N151" s="6"/>
      <c r="O151" s="7"/>
      <c r="P151" s="119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134"/>
      <c r="AE151" s="6"/>
      <c r="AF151" s="7"/>
    </row>
    <row r="152" spans="1:32">
      <c r="A152" s="134"/>
      <c r="B152" s="7"/>
      <c r="C152" s="326" t="s">
        <v>126</v>
      </c>
      <c r="D152" s="553">
        <f ca="1">TODAY()</f>
        <v>43442</v>
      </c>
      <c r="E152" s="554"/>
      <c r="F152" s="553">
        <f ca="1">TODAY()</f>
        <v>43442</v>
      </c>
      <c r="G152" s="554"/>
      <c r="H152" s="553">
        <f ca="1">TODAY()</f>
        <v>43442</v>
      </c>
      <c r="I152" s="554"/>
      <c r="J152" s="553">
        <f ca="1">TODAY()</f>
        <v>43442</v>
      </c>
      <c r="K152" s="554"/>
      <c r="L152" s="553">
        <f ca="1">TODAY()</f>
        <v>43442</v>
      </c>
      <c r="M152" s="554"/>
      <c r="N152" s="553">
        <f ca="1">TODAY()</f>
        <v>43442</v>
      </c>
      <c r="O152" s="554"/>
      <c r="P152" s="553">
        <f ca="1">TODAY()</f>
        <v>43442</v>
      </c>
      <c r="Q152" s="554"/>
      <c r="R152" s="553">
        <f ca="1">TODAY()</f>
        <v>43442</v>
      </c>
      <c r="S152" s="554"/>
      <c r="T152" s="553">
        <f ca="1">TODAY()</f>
        <v>43442</v>
      </c>
      <c r="U152" s="554"/>
      <c r="V152" s="553">
        <f ca="1">TODAY()</f>
        <v>43442</v>
      </c>
      <c r="W152" s="554"/>
      <c r="X152" s="553">
        <f ca="1">TODAY()</f>
        <v>43442</v>
      </c>
      <c r="Y152" s="554"/>
      <c r="Z152" s="553">
        <f ca="1">TODAY()</f>
        <v>43442</v>
      </c>
      <c r="AA152" s="554"/>
      <c r="AB152" s="7"/>
      <c r="AC152" s="134"/>
      <c r="AE152" s="6"/>
      <c r="AF152" s="7"/>
    </row>
    <row r="153" spans="1:32">
      <c r="A153" s="134"/>
      <c r="B153" s="7"/>
      <c r="C153" s="326" t="s">
        <v>142</v>
      </c>
      <c r="D153" s="553">
        <v>42036</v>
      </c>
      <c r="E153" s="554"/>
      <c r="F153" s="553">
        <v>42064</v>
      </c>
      <c r="G153" s="554"/>
      <c r="H153" s="553">
        <v>42095</v>
      </c>
      <c r="I153" s="554"/>
      <c r="J153" s="553">
        <v>42125</v>
      </c>
      <c r="K153" s="554"/>
      <c r="L153" s="553">
        <v>42156</v>
      </c>
      <c r="M153" s="554"/>
      <c r="N153" s="553">
        <v>42186</v>
      </c>
      <c r="O153" s="554"/>
      <c r="P153" s="553">
        <v>42217</v>
      </c>
      <c r="Q153" s="554"/>
      <c r="R153" s="553">
        <v>42248</v>
      </c>
      <c r="S153" s="554"/>
      <c r="T153" s="553">
        <v>42249</v>
      </c>
      <c r="U153" s="554"/>
      <c r="V153" s="553">
        <v>42250</v>
      </c>
      <c r="W153" s="554"/>
      <c r="X153" s="553">
        <v>42251</v>
      </c>
      <c r="Y153" s="554"/>
      <c r="Z153" s="553">
        <v>42252</v>
      </c>
      <c r="AA153" s="554"/>
      <c r="AB153" s="7"/>
      <c r="AC153" s="134"/>
      <c r="AE153" s="6"/>
      <c r="AF153" s="7"/>
    </row>
    <row r="154" spans="1:32">
      <c r="A154" s="134"/>
      <c r="B154" s="7"/>
      <c r="C154" s="326" t="s">
        <v>134</v>
      </c>
      <c r="D154" s="555">
        <f ca="1">D153-D152</f>
        <v>-1406</v>
      </c>
      <c r="E154" s="556"/>
      <c r="F154" s="555">
        <f ca="1">F153-F152</f>
        <v>-1378</v>
      </c>
      <c r="G154" s="556"/>
      <c r="H154" s="555">
        <f ca="1">H153-H152</f>
        <v>-1347</v>
      </c>
      <c r="I154" s="556"/>
      <c r="J154" s="555">
        <f ca="1">J153-J152</f>
        <v>-1317</v>
      </c>
      <c r="K154" s="556"/>
      <c r="L154" s="555">
        <f ca="1">L153-L152</f>
        <v>-1286</v>
      </c>
      <c r="M154" s="556"/>
      <c r="N154" s="555">
        <f ca="1">N153-N152</f>
        <v>-1256</v>
      </c>
      <c r="O154" s="556"/>
      <c r="P154" s="555">
        <f ca="1">P153-P152</f>
        <v>-1225</v>
      </c>
      <c r="Q154" s="556"/>
      <c r="R154" s="555">
        <f ca="1">R153-R152</f>
        <v>-1194</v>
      </c>
      <c r="S154" s="556"/>
      <c r="T154" s="555">
        <f ca="1">T153-T152</f>
        <v>-1193</v>
      </c>
      <c r="U154" s="556"/>
      <c r="V154" s="555">
        <f ca="1">V153-V152</f>
        <v>-1192</v>
      </c>
      <c r="W154" s="556"/>
      <c r="X154" s="555">
        <f ca="1">X153-X152</f>
        <v>-1191</v>
      </c>
      <c r="Y154" s="556"/>
      <c r="Z154" s="555">
        <f ca="1">Z153-Z152</f>
        <v>-1190</v>
      </c>
      <c r="AA154" s="556"/>
      <c r="AB154" s="7"/>
      <c r="AC154" s="134"/>
      <c r="AE154" s="6"/>
      <c r="AF154" s="7"/>
    </row>
    <row r="155" spans="1:32">
      <c r="A155" s="134"/>
      <c r="B155" s="7"/>
      <c r="C155" s="328" t="s">
        <v>135</v>
      </c>
      <c r="D155" s="551" t="str">
        <f ca="1">IF(D154&lt;=0,"Fechou Mes",(D36-E36)/D154)</f>
        <v>Fechou Mes</v>
      </c>
      <c r="E155" s="552"/>
      <c r="F155" s="551" t="str">
        <f ca="1">IF(F154&lt;=0,"Fechou Mes",(G36-F36)/F154)</f>
        <v>Fechou Mes</v>
      </c>
      <c r="G155" s="552"/>
      <c r="H155" s="551" t="str">
        <f ca="1">IF(H154&lt;=0,"Fechou Mes",(I36-H36)/H154)</f>
        <v>Fechou Mes</v>
      </c>
      <c r="I155" s="552"/>
      <c r="J155" s="551" t="str">
        <f ca="1">IF(J154&lt;=0,"Fechou Mes",(K36-J36)/J154)</f>
        <v>Fechou Mes</v>
      </c>
      <c r="K155" s="552"/>
      <c r="L155" s="551" t="str">
        <f ca="1">IF(L154&lt;=0,"Fechou Mes",(M36-L36)/L154)</f>
        <v>Fechou Mes</v>
      </c>
      <c r="M155" s="552"/>
      <c r="N155" s="551" t="str">
        <f ca="1">IF(N154&lt;=0,"Fechou Mes",(O36-N36)/N154)</f>
        <v>Fechou Mes</v>
      </c>
      <c r="O155" s="552"/>
      <c r="P155" s="551" t="str">
        <f ca="1">IF(P154&lt;=0,"Fechou Mes",(Q36-P36)/P154)</f>
        <v>Fechou Mes</v>
      </c>
      <c r="Q155" s="552"/>
      <c r="R155" s="551" t="str">
        <f ca="1">IF(R154&lt;=0,"Fechou Mes",(S36-R36)/R154)</f>
        <v>Fechou Mes</v>
      </c>
      <c r="S155" s="552"/>
      <c r="T155" s="551" t="str">
        <f ca="1">IF(T154&lt;=0,"Fechou Mes",(U36-T36)/T154)</f>
        <v>Fechou Mes</v>
      </c>
      <c r="U155" s="552"/>
      <c r="V155" s="551" t="str">
        <f ca="1">IF(V154&lt;=0,"Fechou Mes",(W36-V36)/V154)</f>
        <v>Fechou Mes</v>
      </c>
      <c r="W155" s="552"/>
      <c r="X155" s="551" t="str">
        <f ca="1">IF(X154&lt;=0,"Fechou Mes",(Y36-X36)/X154)</f>
        <v>Fechou Mes</v>
      </c>
      <c r="Y155" s="552"/>
      <c r="Z155" s="551" t="str">
        <f ca="1">IF(Z154&lt;=0,"Fechou Mes",(AA36-Z36)/Z154)</f>
        <v>Fechou Mes</v>
      </c>
      <c r="AA155" s="552"/>
      <c r="AB155" s="7"/>
      <c r="AC155" s="134"/>
      <c r="AE155" s="6"/>
      <c r="AF155" s="7"/>
    </row>
    <row r="156" spans="1:32" ht="6.5" customHeight="1">
      <c r="A156" s="134"/>
      <c r="B156" s="7"/>
      <c r="C156" s="116"/>
      <c r="D156" s="116"/>
      <c r="E156" s="116"/>
      <c r="F156" s="118"/>
      <c r="G156" s="7"/>
      <c r="H156" s="7"/>
      <c r="I156" s="7"/>
      <c r="J156" s="7"/>
      <c r="K156" s="7"/>
      <c r="L156" s="7"/>
      <c r="M156" s="6"/>
      <c r="N156" s="6"/>
      <c r="O156" s="7"/>
      <c r="P156" s="119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134"/>
      <c r="AE156" s="6"/>
      <c r="AF156" s="7"/>
    </row>
    <row r="157" spans="1:32" ht="4.5" customHeight="1">
      <c r="A157" s="134"/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5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E157" s="6"/>
      <c r="AF157" s="7"/>
    </row>
    <row r="158" spans="1:32">
      <c r="B158" s="7"/>
      <c r="C158" s="7"/>
      <c r="D158" s="109"/>
      <c r="E158" s="7"/>
      <c r="F158" s="109"/>
      <c r="G158" s="7"/>
      <c r="H158" s="7"/>
      <c r="I158" s="7"/>
      <c r="J158" s="7"/>
      <c r="K158" s="7"/>
      <c r="L158" s="7"/>
      <c r="M158" s="6"/>
      <c r="N158" s="6"/>
      <c r="O158" s="7"/>
      <c r="P158" s="110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E158" s="6"/>
      <c r="AF158" s="7"/>
    </row>
    <row r="159" spans="1:32">
      <c r="B159" s="7"/>
      <c r="C159" s="7"/>
      <c r="D159" s="109"/>
      <c r="E159" s="7"/>
      <c r="F159" s="109"/>
      <c r="G159" s="7"/>
      <c r="H159" s="7"/>
      <c r="I159" s="7"/>
      <c r="J159" s="7"/>
      <c r="K159" s="7"/>
      <c r="L159" s="7"/>
      <c r="M159" s="6"/>
      <c r="N159" s="6"/>
      <c r="O159" s="7"/>
      <c r="P159" s="110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E159" s="6"/>
      <c r="AF159" s="7"/>
    </row>
    <row r="160" spans="1:32">
      <c r="B160" s="7"/>
      <c r="C160" s="7"/>
      <c r="D160" s="109"/>
      <c r="E160" s="7"/>
      <c r="F160" s="109"/>
      <c r="G160" s="7"/>
      <c r="H160" s="7"/>
      <c r="I160" s="7"/>
      <c r="J160" s="7"/>
      <c r="K160" s="7"/>
      <c r="L160" s="7"/>
      <c r="M160" s="6"/>
      <c r="N160" s="6"/>
      <c r="O160" s="7"/>
      <c r="P160" s="110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E160" s="6"/>
      <c r="AF160" s="7"/>
    </row>
    <row r="161" spans="2:32">
      <c r="B161" s="7"/>
      <c r="C161" s="7"/>
      <c r="D161" s="109"/>
      <c r="E161" s="7"/>
      <c r="F161" s="109"/>
      <c r="G161" s="7"/>
      <c r="H161" s="7"/>
      <c r="I161" s="7"/>
      <c r="J161" s="7"/>
      <c r="K161" s="7"/>
      <c r="L161" s="7"/>
      <c r="M161" s="6"/>
      <c r="N161" s="6"/>
      <c r="O161" s="7"/>
      <c r="P161" s="110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E161" s="6"/>
      <c r="AF161" s="7"/>
    </row>
    <row r="162" spans="2:32">
      <c r="B162" s="7"/>
      <c r="C162" s="7"/>
      <c r="D162" s="109"/>
      <c r="E162" s="7"/>
      <c r="F162" s="109"/>
      <c r="G162" s="7"/>
      <c r="H162" s="7"/>
      <c r="I162" s="7"/>
      <c r="J162" s="7"/>
      <c r="K162" s="7"/>
      <c r="L162" s="7"/>
      <c r="M162" s="6"/>
      <c r="N162" s="6"/>
      <c r="O162" s="7"/>
      <c r="P162" s="110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E162" s="6"/>
      <c r="AF162" s="7"/>
    </row>
    <row r="163" spans="2:32">
      <c r="B163" s="7"/>
      <c r="C163" s="7"/>
      <c r="D163" s="109"/>
      <c r="E163" s="7"/>
      <c r="F163" s="109"/>
      <c r="G163" s="7"/>
      <c r="H163" s="7"/>
      <c r="I163" s="7"/>
      <c r="J163" s="7"/>
      <c r="K163" s="7"/>
      <c r="L163" s="7"/>
      <c r="M163" s="6"/>
      <c r="N163" s="6"/>
      <c r="O163" s="7"/>
      <c r="P163" s="110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E163" s="6"/>
      <c r="AF163" s="7"/>
    </row>
    <row r="164" spans="2:32">
      <c r="B164" s="7"/>
      <c r="C164" s="7"/>
      <c r="D164" s="109"/>
      <c r="E164" s="7"/>
      <c r="F164" s="109"/>
      <c r="G164" s="7"/>
      <c r="H164" s="7"/>
      <c r="I164" s="7"/>
      <c r="J164" s="7"/>
      <c r="K164" s="7"/>
      <c r="L164" s="7"/>
      <c r="M164" s="6"/>
      <c r="N164" s="6"/>
      <c r="O164" s="7"/>
      <c r="P164" s="110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E164" s="6"/>
      <c r="AF164" s="7"/>
    </row>
    <row r="165" spans="2:32">
      <c r="B165" s="7"/>
      <c r="C165" s="7"/>
      <c r="D165" s="109"/>
      <c r="E165" s="7"/>
      <c r="F165" s="109"/>
      <c r="G165" s="7"/>
      <c r="H165" s="7"/>
      <c r="I165" s="7"/>
      <c r="J165" s="7"/>
      <c r="K165" s="7"/>
      <c r="L165" s="7"/>
      <c r="M165" s="6"/>
      <c r="N165" s="6"/>
      <c r="O165" s="7"/>
      <c r="P165" s="110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E165" s="6"/>
      <c r="AF165" s="7"/>
    </row>
    <row r="166" spans="2:32">
      <c r="B166" s="7"/>
      <c r="C166" s="7"/>
      <c r="D166" s="109"/>
      <c r="E166" s="7"/>
      <c r="F166" s="109"/>
      <c r="G166" s="7"/>
      <c r="H166" s="7"/>
      <c r="I166" s="7"/>
      <c r="J166" s="7"/>
      <c r="K166" s="7"/>
      <c r="L166" s="7"/>
      <c r="M166" s="6"/>
      <c r="N166" s="6"/>
      <c r="O166" s="7"/>
      <c r="P166" s="110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E166" s="6"/>
      <c r="AF166" s="7"/>
    </row>
    <row r="167" spans="2:32">
      <c r="B167" s="7"/>
      <c r="C167" s="7"/>
      <c r="D167" s="109"/>
      <c r="E167" s="7"/>
      <c r="F167" s="109"/>
      <c r="G167" s="7"/>
      <c r="H167" s="7"/>
      <c r="I167" s="7"/>
      <c r="J167" s="7"/>
      <c r="K167" s="7"/>
      <c r="L167" s="7"/>
      <c r="M167" s="6"/>
      <c r="N167" s="6"/>
      <c r="O167" s="7"/>
      <c r="P167" s="110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E167" s="6"/>
      <c r="AF167" s="7"/>
    </row>
    <row r="168" spans="2:32">
      <c r="B168" s="7"/>
      <c r="C168" s="7"/>
      <c r="D168" s="109"/>
      <c r="E168" s="7"/>
      <c r="F168" s="109"/>
      <c r="G168" s="7"/>
      <c r="H168" s="7"/>
      <c r="I168" s="7"/>
      <c r="J168" s="7"/>
      <c r="K168" s="7"/>
      <c r="L168" s="7"/>
      <c r="M168" s="6"/>
      <c r="N168" s="6"/>
      <c r="O168" s="7"/>
      <c r="P168" s="110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E168" s="6"/>
      <c r="AF168" s="7"/>
    </row>
    <row r="169" spans="2:32">
      <c r="B169" s="7"/>
      <c r="C169" s="7"/>
      <c r="D169" s="109"/>
      <c r="E169" s="7"/>
      <c r="F169" s="109"/>
      <c r="G169" s="7"/>
      <c r="H169" s="7"/>
      <c r="I169" s="7"/>
      <c r="J169" s="7"/>
      <c r="K169" s="7"/>
      <c r="L169" s="7"/>
      <c r="M169" s="6"/>
      <c r="N169" s="6"/>
      <c r="O169" s="7"/>
      <c r="P169" s="110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E169" s="6"/>
      <c r="AF169" s="7"/>
    </row>
    <row r="170" spans="2:32">
      <c r="B170" s="7"/>
      <c r="C170" s="7"/>
      <c r="D170" s="109"/>
      <c r="E170" s="7"/>
      <c r="F170" s="109"/>
      <c r="G170" s="7"/>
      <c r="H170" s="7"/>
      <c r="I170" s="7"/>
      <c r="J170" s="7"/>
      <c r="K170" s="7"/>
      <c r="L170" s="7"/>
      <c r="M170" s="6"/>
      <c r="N170" s="6"/>
      <c r="O170" s="7"/>
      <c r="P170" s="110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E170" s="6"/>
      <c r="AF170" s="7"/>
    </row>
    <row r="171" spans="2:32">
      <c r="B171" s="7"/>
      <c r="C171" s="7"/>
      <c r="D171" s="109"/>
      <c r="E171" s="7"/>
      <c r="F171" s="109"/>
      <c r="G171" s="7"/>
      <c r="H171" s="7"/>
      <c r="I171" s="7"/>
      <c r="J171" s="7"/>
      <c r="K171" s="7"/>
      <c r="L171" s="7"/>
      <c r="M171" s="6"/>
      <c r="N171" s="6"/>
      <c r="O171" s="7"/>
      <c r="P171" s="110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E171" s="6"/>
      <c r="AF171" s="7"/>
    </row>
    <row r="172" spans="2:32">
      <c r="B172" s="7"/>
      <c r="C172" s="7"/>
      <c r="D172" s="109"/>
      <c r="E172" s="7"/>
      <c r="F172" s="109"/>
      <c r="G172" s="7"/>
      <c r="H172" s="7"/>
      <c r="I172" s="7"/>
      <c r="J172" s="7"/>
      <c r="K172" s="7"/>
      <c r="L172" s="7"/>
      <c r="M172" s="6"/>
      <c r="N172" s="6"/>
      <c r="O172" s="7"/>
      <c r="P172" s="110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E172" s="6"/>
      <c r="AF172" s="7"/>
    </row>
    <row r="173" spans="2:32">
      <c r="B173" s="7"/>
      <c r="C173" s="7"/>
      <c r="D173" s="109"/>
      <c r="E173" s="7"/>
      <c r="F173" s="109"/>
      <c r="G173" s="7"/>
      <c r="H173" s="7"/>
      <c r="I173" s="7"/>
      <c r="J173" s="7"/>
      <c r="K173" s="7"/>
      <c r="L173" s="7"/>
      <c r="M173" s="6"/>
      <c r="N173" s="6"/>
      <c r="O173" s="7"/>
      <c r="P173" s="110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E173" s="6"/>
      <c r="AF173" s="7"/>
    </row>
    <row r="174" spans="2:32">
      <c r="B174" s="7"/>
      <c r="C174" s="7"/>
      <c r="D174" s="109"/>
      <c r="E174" s="7"/>
      <c r="F174" s="109"/>
      <c r="G174" s="7"/>
      <c r="H174" s="7"/>
      <c r="I174" s="7"/>
      <c r="J174" s="7"/>
      <c r="K174" s="7"/>
      <c r="L174" s="7"/>
      <c r="M174" s="6"/>
      <c r="N174" s="6"/>
      <c r="O174" s="7"/>
      <c r="P174" s="110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E174" s="6"/>
      <c r="AF174" s="7"/>
    </row>
    <row r="175" spans="2:32">
      <c r="B175" s="7"/>
      <c r="C175" s="7"/>
      <c r="D175" s="109"/>
      <c r="E175" s="7"/>
      <c r="F175" s="109"/>
      <c r="G175" s="7"/>
      <c r="H175" s="7"/>
      <c r="I175" s="7"/>
      <c r="J175" s="7"/>
      <c r="K175" s="7"/>
      <c r="L175" s="7"/>
      <c r="M175" s="6"/>
      <c r="N175" s="6"/>
      <c r="O175" s="7"/>
      <c r="P175" s="110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E175" s="6"/>
      <c r="AF175" s="7"/>
    </row>
    <row r="176" spans="2:32">
      <c r="B176" s="7"/>
      <c r="C176" s="7"/>
      <c r="D176" s="109"/>
      <c r="E176" s="7"/>
      <c r="F176" s="109"/>
      <c r="G176" s="7"/>
      <c r="H176" s="7"/>
      <c r="I176" s="7"/>
      <c r="J176" s="7"/>
      <c r="K176" s="7"/>
      <c r="L176" s="7"/>
      <c r="M176" s="6"/>
      <c r="N176" s="6"/>
      <c r="O176" s="7"/>
      <c r="P176" s="110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E176" s="6"/>
      <c r="AF176" s="7"/>
    </row>
    <row r="177" spans="2:32">
      <c r="B177" s="7"/>
      <c r="C177" s="7"/>
      <c r="D177" s="109"/>
      <c r="E177" s="7"/>
      <c r="F177" s="109"/>
      <c r="G177" s="7"/>
      <c r="H177" s="7"/>
      <c r="I177" s="7"/>
      <c r="J177" s="7"/>
      <c r="K177" s="7"/>
      <c r="L177" s="7"/>
      <c r="M177" s="6"/>
      <c r="N177" s="6"/>
      <c r="O177" s="7"/>
      <c r="P177" s="110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E177" s="6"/>
      <c r="AF177" s="7"/>
    </row>
    <row r="178" spans="2:32">
      <c r="B178" s="7"/>
      <c r="C178" s="7"/>
      <c r="D178" s="109"/>
      <c r="E178" s="7"/>
      <c r="F178" s="109"/>
      <c r="G178" s="7"/>
      <c r="H178" s="7"/>
      <c r="I178" s="7"/>
      <c r="J178" s="7"/>
      <c r="K178" s="7"/>
      <c r="L178" s="7"/>
      <c r="M178" s="6"/>
      <c r="N178" s="6"/>
      <c r="O178" s="7"/>
      <c r="P178" s="110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E178" s="6"/>
      <c r="AF178" s="7"/>
    </row>
    <row r="179" spans="2:32">
      <c r="B179" s="7"/>
      <c r="C179" s="7"/>
      <c r="D179" s="109"/>
      <c r="E179" s="7"/>
      <c r="F179" s="109"/>
      <c r="G179" s="7"/>
      <c r="H179" s="7"/>
      <c r="I179" s="7"/>
      <c r="J179" s="7"/>
      <c r="K179" s="7"/>
      <c r="L179" s="7"/>
      <c r="M179" s="6"/>
      <c r="N179" s="6"/>
      <c r="O179" s="7"/>
      <c r="P179" s="110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E179" s="6"/>
      <c r="AF179" s="7"/>
    </row>
    <row r="180" spans="2:32">
      <c r="B180" s="7"/>
      <c r="C180" s="7"/>
      <c r="D180" s="109"/>
      <c r="E180" s="7"/>
      <c r="F180" s="109"/>
      <c r="G180" s="7"/>
      <c r="H180" s="7"/>
      <c r="I180" s="7"/>
      <c r="J180" s="7"/>
      <c r="K180" s="7"/>
      <c r="L180" s="7"/>
      <c r="M180" s="6"/>
      <c r="N180" s="6"/>
      <c r="O180" s="7"/>
      <c r="P180" s="110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E180" s="6"/>
      <c r="AF180" s="7"/>
    </row>
    <row r="181" spans="2:32">
      <c r="B181" s="7"/>
      <c r="C181" s="7"/>
      <c r="D181" s="109"/>
      <c r="E181" s="7"/>
      <c r="F181" s="109"/>
      <c r="G181" s="7"/>
      <c r="H181" s="7"/>
      <c r="I181" s="7"/>
      <c r="J181" s="7"/>
      <c r="K181" s="7"/>
      <c r="L181" s="7"/>
      <c r="M181" s="6"/>
      <c r="N181" s="6"/>
      <c r="O181" s="7"/>
      <c r="P181" s="110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E181" s="6"/>
      <c r="AF181" s="7"/>
    </row>
    <row r="182" spans="2:32">
      <c r="B182" s="7"/>
      <c r="C182" s="7"/>
      <c r="D182" s="109"/>
      <c r="E182" s="7"/>
      <c r="F182" s="109"/>
      <c r="G182" s="7"/>
      <c r="H182" s="7"/>
      <c r="I182" s="7"/>
      <c r="J182" s="7"/>
      <c r="K182" s="7"/>
      <c r="L182" s="7"/>
      <c r="M182" s="6"/>
      <c r="N182" s="6"/>
      <c r="O182" s="7"/>
      <c r="P182" s="110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E182" s="6"/>
      <c r="AF182" s="7"/>
    </row>
    <row r="183" spans="2:32">
      <c r="B183" s="7"/>
      <c r="C183" s="7"/>
      <c r="D183" s="109"/>
      <c r="E183" s="7"/>
      <c r="F183" s="109"/>
      <c r="G183" s="7"/>
      <c r="H183" s="7"/>
      <c r="I183" s="7"/>
      <c r="J183" s="7"/>
      <c r="K183" s="7"/>
      <c r="L183" s="7"/>
      <c r="M183" s="6"/>
      <c r="N183" s="6"/>
      <c r="O183" s="7"/>
      <c r="P183" s="110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E183" s="6"/>
      <c r="AF183" s="7"/>
    </row>
    <row r="184" spans="2:32">
      <c r="B184" s="7"/>
      <c r="C184" s="7"/>
      <c r="D184" s="109"/>
      <c r="E184" s="7"/>
      <c r="F184" s="109"/>
      <c r="G184" s="7"/>
      <c r="H184" s="7"/>
      <c r="I184" s="7"/>
      <c r="J184" s="7"/>
      <c r="K184" s="7"/>
      <c r="L184" s="7"/>
      <c r="M184" s="6"/>
      <c r="N184" s="6"/>
      <c r="O184" s="7"/>
      <c r="P184" s="110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E184" s="6"/>
      <c r="AF184" s="7"/>
    </row>
    <row r="185" spans="2:32">
      <c r="B185" s="7"/>
      <c r="C185" s="7"/>
      <c r="D185" s="109"/>
      <c r="E185" s="7"/>
      <c r="F185" s="109"/>
      <c r="G185" s="7"/>
      <c r="H185" s="7"/>
      <c r="I185" s="7"/>
      <c r="J185" s="7"/>
      <c r="K185" s="7"/>
      <c r="L185" s="7"/>
      <c r="M185" s="6"/>
      <c r="N185" s="6"/>
      <c r="O185" s="7"/>
      <c r="P185" s="110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E185" s="6"/>
      <c r="AF185" s="7"/>
    </row>
    <row r="186" spans="2:32">
      <c r="B186" s="7"/>
      <c r="C186" s="7"/>
      <c r="D186" s="109"/>
      <c r="E186" s="7"/>
      <c r="F186" s="109"/>
      <c r="G186" s="7"/>
      <c r="H186" s="7"/>
      <c r="I186" s="7"/>
      <c r="J186" s="7"/>
      <c r="K186" s="7"/>
      <c r="L186" s="7"/>
      <c r="M186" s="6"/>
      <c r="N186" s="6"/>
      <c r="O186" s="7"/>
      <c r="P186" s="110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E186" s="6"/>
      <c r="AF186" s="7"/>
    </row>
    <row r="187" spans="2:32">
      <c r="B187" s="7"/>
      <c r="C187" s="7"/>
      <c r="D187" s="109"/>
      <c r="E187" s="7"/>
      <c r="F187" s="109"/>
      <c r="G187" s="7"/>
      <c r="H187" s="7"/>
      <c r="I187" s="7"/>
      <c r="J187" s="7"/>
      <c r="K187" s="7"/>
      <c r="L187" s="7"/>
      <c r="M187" s="6"/>
      <c r="N187" s="6"/>
      <c r="O187" s="7"/>
      <c r="P187" s="110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E187" s="6"/>
      <c r="AF187" s="7"/>
    </row>
    <row r="188" spans="2:32">
      <c r="B188" s="7"/>
      <c r="C188" s="7"/>
      <c r="D188" s="109"/>
      <c r="E188" s="7"/>
      <c r="F188" s="109"/>
      <c r="G188" s="7"/>
      <c r="H188" s="7"/>
      <c r="I188" s="7"/>
      <c r="J188" s="7"/>
      <c r="K188" s="7"/>
      <c r="L188" s="7"/>
      <c r="M188" s="6"/>
      <c r="N188" s="6"/>
      <c r="O188" s="7"/>
      <c r="P188" s="110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E188" s="6"/>
      <c r="AF188" s="7"/>
    </row>
    <row r="189" spans="2:32">
      <c r="B189" s="7"/>
      <c r="C189" s="7"/>
      <c r="D189" s="109"/>
      <c r="E189" s="7"/>
      <c r="F189" s="109"/>
      <c r="G189" s="7"/>
      <c r="H189" s="7"/>
      <c r="I189" s="7"/>
      <c r="J189" s="7"/>
      <c r="K189" s="7"/>
      <c r="L189" s="7"/>
      <c r="M189" s="6"/>
      <c r="N189" s="6"/>
      <c r="O189" s="7"/>
      <c r="P189" s="110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E189" s="6"/>
      <c r="AF189" s="7"/>
    </row>
    <row r="190" spans="2:32">
      <c r="B190" s="7"/>
      <c r="C190" s="7"/>
      <c r="D190" s="109"/>
      <c r="E190" s="7"/>
      <c r="F190" s="109"/>
      <c r="G190" s="7"/>
      <c r="H190" s="7"/>
      <c r="I190" s="7"/>
      <c r="J190" s="7"/>
      <c r="K190" s="7"/>
      <c r="L190" s="7"/>
      <c r="M190" s="6"/>
      <c r="N190" s="6"/>
      <c r="O190" s="7"/>
      <c r="P190" s="110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E190" s="6"/>
      <c r="AF190" s="7"/>
    </row>
    <row r="191" spans="2:32">
      <c r="B191" s="7"/>
      <c r="C191" s="7"/>
      <c r="D191" s="109"/>
      <c r="E191" s="7"/>
      <c r="F191" s="109"/>
      <c r="G191" s="7"/>
      <c r="H191" s="7"/>
      <c r="I191" s="7"/>
      <c r="J191" s="7"/>
      <c r="K191" s="7"/>
      <c r="L191" s="7"/>
      <c r="M191" s="6"/>
      <c r="N191" s="6"/>
      <c r="O191" s="7"/>
      <c r="P191" s="110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E191" s="6"/>
      <c r="AF191" s="7"/>
    </row>
    <row r="192" spans="2:32">
      <c r="B192" s="7"/>
      <c r="C192" s="7"/>
      <c r="D192" s="109"/>
      <c r="E192" s="7"/>
      <c r="F192" s="109"/>
      <c r="G192" s="7"/>
      <c r="H192" s="7"/>
      <c r="I192" s="7"/>
      <c r="J192" s="7"/>
      <c r="K192" s="7"/>
      <c r="L192" s="7"/>
      <c r="M192" s="6"/>
      <c r="N192" s="6"/>
      <c r="O192" s="7"/>
      <c r="P192" s="110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E192" s="6"/>
      <c r="AF192" s="7"/>
    </row>
    <row r="193" spans="2:32">
      <c r="B193" s="7"/>
      <c r="C193" s="7"/>
      <c r="D193" s="109"/>
      <c r="E193" s="7"/>
      <c r="F193" s="109"/>
      <c r="G193" s="7"/>
      <c r="H193" s="7"/>
      <c r="I193" s="7"/>
      <c r="J193" s="7"/>
      <c r="K193" s="7"/>
      <c r="L193" s="7"/>
      <c r="M193" s="6"/>
      <c r="N193" s="6"/>
      <c r="O193" s="7"/>
      <c r="P193" s="110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E193" s="6"/>
      <c r="AF193" s="7"/>
    </row>
    <row r="194" spans="2:32">
      <c r="B194" s="7"/>
      <c r="C194" s="7"/>
      <c r="D194" s="109"/>
      <c r="E194" s="7"/>
      <c r="F194" s="109"/>
      <c r="G194" s="7"/>
      <c r="H194" s="7"/>
      <c r="I194" s="7"/>
      <c r="J194" s="7"/>
      <c r="K194" s="7"/>
      <c r="L194" s="7"/>
      <c r="M194" s="6"/>
      <c r="N194" s="6"/>
      <c r="O194" s="7"/>
      <c r="P194" s="110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E194" s="6"/>
      <c r="AF194" s="7"/>
    </row>
    <row r="195" spans="2:32">
      <c r="B195" s="7"/>
      <c r="C195" s="7"/>
      <c r="D195" s="109"/>
      <c r="E195" s="7"/>
      <c r="F195" s="109"/>
      <c r="G195" s="7"/>
      <c r="H195" s="7"/>
      <c r="I195" s="7"/>
      <c r="J195" s="7"/>
      <c r="K195" s="7"/>
      <c r="L195" s="7"/>
      <c r="M195" s="6"/>
      <c r="N195" s="6"/>
      <c r="O195" s="7"/>
      <c r="P195" s="110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E195" s="6"/>
      <c r="AF195" s="7"/>
    </row>
    <row r="196" spans="2:32">
      <c r="B196" s="7"/>
      <c r="C196" s="7"/>
      <c r="D196" s="109"/>
      <c r="E196" s="7"/>
      <c r="F196" s="109"/>
      <c r="G196" s="7"/>
      <c r="H196" s="7"/>
      <c r="I196" s="7"/>
      <c r="J196" s="7"/>
      <c r="K196" s="7"/>
      <c r="L196" s="7"/>
      <c r="M196" s="6"/>
      <c r="N196" s="6"/>
      <c r="O196" s="7"/>
      <c r="P196" s="110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E196" s="6"/>
      <c r="AF196" s="7"/>
    </row>
    <row r="197" spans="2:32">
      <c r="B197" s="7"/>
      <c r="C197" s="7"/>
      <c r="D197" s="109"/>
      <c r="E197" s="109"/>
      <c r="F197" s="109"/>
      <c r="G197" s="7"/>
      <c r="H197" s="7"/>
      <c r="I197" s="7"/>
      <c r="J197" s="7"/>
      <c r="K197" s="7"/>
      <c r="L197" s="7"/>
      <c r="M197" s="6"/>
      <c r="N197" s="6"/>
      <c r="O197" s="7"/>
      <c r="P197" s="110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E197" s="6"/>
      <c r="AF197" s="7"/>
    </row>
    <row r="198" spans="2:32">
      <c r="D198" s="4"/>
      <c r="E198" s="4"/>
      <c r="F198" s="4"/>
      <c r="P198" s="3"/>
    </row>
    <row r="199" spans="2:32">
      <c r="D199" s="4"/>
      <c r="E199" s="4"/>
      <c r="F199" s="4"/>
      <c r="P199" s="3"/>
    </row>
    <row r="200" spans="2:32">
      <c r="D200" s="4"/>
      <c r="E200" s="4"/>
      <c r="F200" s="4"/>
      <c r="P200" s="3"/>
    </row>
    <row r="201" spans="2:32">
      <c r="P201" s="3"/>
    </row>
  </sheetData>
  <dataConsolidate/>
  <customSheetViews>
    <customSheetView guid="{7968DD20-63CB-4265-B979-BFF7124CEC21}" scale="115" showGridLines="0">
      <pane xSplit="2" ySplit="6" topLeftCell="I7" activePane="bottomRight" state="frozenSplit"/>
      <selection pane="bottomRight" activeCell="B18" sqref="B18"/>
      <pageMargins left="0.511811024" right="0.511811024" top="0.78740157499999996" bottom="0.78740157499999996" header="0.31496062000000002" footer="0.31496062000000002"/>
    </customSheetView>
  </customSheetViews>
  <mergeCells count="136">
    <mergeCell ref="N154:O154"/>
    <mergeCell ref="D155:E155"/>
    <mergeCell ref="F155:G155"/>
    <mergeCell ref="H155:I155"/>
    <mergeCell ref="J155:K155"/>
    <mergeCell ref="L155:M155"/>
    <mergeCell ref="N155:O155"/>
    <mergeCell ref="D154:E154"/>
    <mergeCell ref="F154:G154"/>
    <mergeCell ref="H154:I154"/>
    <mergeCell ref="J154:K154"/>
    <mergeCell ref="L154:M154"/>
    <mergeCell ref="J152:K152"/>
    <mergeCell ref="L152:M152"/>
    <mergeCell ref="N152:O152"/>
    <mergeCell ref="D153:E153"/>
    <mergeCell ref="F153:G153"/>
    <mergeCell ref="H153:I153"/>
    <mergeCell ref="J153:K153"/>
    <mergeCell ref="L153:M153"/>
    <mergeCell ref="N153:O153"/>
    <mergeCell ref="H143:I143"/>
    <mergeCell ref="H144:I144"/>
    <mergeCell ref="H145:I145"/>
    <mergeCell ref="H146:I146"/>
    <mergeCell ref="D152:E152"/>
    <mergeCell ref="F152:G152"/>
    <mergeCell ref="H152:I152"/>
    <mergeCell ref="D143:E143"/>
    <mergeCell ref="D144:E144"/>
    <mergeCell ref="D145:E145"/>
    <mergeCell ref="D146:E146"/>
    <mergeCell ref="F143:G143"/>
    <mergeCell ref="F144:G144"/>
    <mergeCell ref="F145:G145"/>
    <mergeCell ref="F146:G146"/>
    <mergeCell ref="L10:M10"/>
    <mergeCell ref="T10:U10"/>
    <mergeCell ref="V10:W10"/>
    <mergeCell ref="Z10:AA10"/>
    <mergeCell ref="X10:Y10"/>
    <mergeCell ref="J143:K143"/>
    <mergeCell ref="J144:K144"/>
    <mergeCell ref="J145:K145"/>
    <mergeCell ref="J146:K146"/>
    <mergeCell ref="N143:O143"/>
    <mergeCell ref="N144:O144"/>
    <mergeCell ref="N145:O145"/>
    <mergeCell ref="N146:O146"/>
    <mergeCell ref="L143:M143"/>
    <mergeCell ref="L146:M146"/>
    <mergeCell ref="L145:M145"/>
    <mergeCell ref="L144:M144"/>
    <mergeCell ref="T143:U143"/>
    <mergeCell ref="T144:U144"/>
    <mergeCell ref="T145:U145"/>
    <mergeCell ref="T146:U146"/>
    <mergeCell ref="V143:W143"/>
    <mergeCell ref="X143:Y143"/>
    <mergeCell ref="Z143:AA143"/>
    <mergeCell ref="AE6:AF6"/>
    <mergeCell ref="AE8:AF8"/>
    <mergeCell ref="I131:J131"/>
    <mergeCell ref="D8:E8"/>
    <mergeCell ref="F8:G8"/>
    <mergeCell ref="H8:I8"/>
    <mergeCell ref="J8:K8"/>
    <mergeCell ref="V8:W8"/>
    <mergeCell ref="X8:Y8"/>
    <mergeCell ref="Z8:AA8"/>
    <mergeCell ref="L8:M8"/>
    <mergeCell ref="N8:O8"/>
    <mergeCell ref="P8:Q8"/>
    <mergeCell ref="R8:S8"/>
    <mergeCell ref="T8:U8"/>
    <mergeCell ref="D6:E6"/>
    <mergeCell ref="AE10:AF10"/>
    <mergeCell ref="N10:O10"/>
    <mergeCell ref="P10:Q10"/>
    <mergeCell ref="R10:S10"/>
    <mergeCell ref="D10:E10"/>
    <mergeCell ref="F10:G10"/>
    <mergeCell ref="H10:I10"/>
    <mergeCell ref="J10:K10"/>
    <mergeCell ref="Z6:AA6"/>
    <mergeCell ref="N6:O6"/>
    <mergeCell ref="P6:Q6"/>
    <mergeCell ref="R6:S6"/>
    <mergeCell ref="T6:U6"/>
    <mergeCell ref="V6:W6"/>
    <mergeCell ref="F6:G6"/>
    <mergeCell ref="H6:I6"/>
    <mergeCell ref="J6:K6"/>
    <mergeCell ref="L6:M6"/>
    <mergeCell ref="X6:Y6"/>
    <mergeCell ref="P152:Q152"/>
    <mergeCell ref="P153:Q153"/>
    <mergeCell ref="P154:Q154"/>
    <mergeCell ref="P155:Q155"/>
    <mergeCell ref="R152:S152"/>
    <mergeCell ref="R153:S153"/>
    <mergeCell ref="R154:S154"/>
    <mergeCell ref="R155:S155"/>
    <mergeCell ref="R143:S143"/>
    <mergeCell ref="R144:S144"/>
    <mergeCell ref="R145:S145"/>
    <mergeCell ref="R146:S146"/>
    <mergeCell ref="P143:Q143"/>
    <mergeCell ref="P144:Q144"/>
    <mergeCell ref="P145:Q145"/>
    <mergeCell ref="P146:Q146"/>
    <mergeCell ref="V144:W144"/>
    <mergeCell ref="X144:Y144"/>
    <mergeCell ref="Z144:AA144"/>
    <mergeCell ref="V145:W145"/>
    <mergeCell ref="X145:Y145"/>
    <mergeCell ref="Z145:AA145"/>
    <mergeCell ref="V146:W146"/>
    <mergeCell ref="X146:Y146"/>
    <mergeCell ref="Z146:AA146"/>
    <mergeCell ref="T155:U155"/>
    <mergeCell ref="V155:W155"/>
    <mergeCell ref="X155:Y155"/>
    <mergeCell ref="Z155:AA155"/>
    <mergeCell ref="T152:U152"/>
    <mergeCell ref="V152:W152"/>
    <mergeCell ref="X152:Y152"/>
    <mergeCell ref="Z152:AA152"/>
    <mergeCell ref="T153:U153"/>
    <mergeCell ref="V153:W153"/>
    <mergeCell ref="X153:Y153"/>
    <mergeCell ref="Z153:AA153"/>
    <mergeCell ref="T154:U154"/>
    <mergeCell ref="V154:W154"/>
    <mergeCell ref="X154:Y154"/>
    <mergeCell ref="Z154:AA154"/>
  </mergeCells>
  <conditionalFormatting sqref="U70 U85:U87 U89:U122">
    <cfRule type="iconSet" priority="8664">
      <iconSet iconSet="3Flags" reverse="1">
        <cfvo type="percent" val="0"/>
        <cfvo type="formula" val="0"/>
        <cfvo type="formula" val="0" gte="0"/>
      </iconSet>
    </cfRule>
  </conditionalFormatting>
  <conditionalFormatting sqref="W70 W85:W87 W89:W122">
    <cfRule type="iconSet" priority="8663">
      <iconSet iconSet="3Flags" reverse="1">
        <cfvo type="percent" val="0"/>
        <cfvo type="formula" val="0"/>
        <cfvo type="formula" val="0" gte="0"/>
      </iconSet>
    </cfRule>
  </conditionalFormatting>
  <conditionalFormatting sqref="Y70">
    <cfRule type="iconSet" priority="8662">
      <iconSet iconSet="3Flags" reverse="1">
        <cfvo type="percent" val="0"/>
        <cfvo type="formula" val="0"/>
        <cfvo type="formula" val="0" gte="0"/>
      </iconSet>
    </cfRule>
  </conditionalFormatting>
  <conditionalFormatting sqref="AA70">
    <cfRule type="iconSet" priority="8661">
      <iconSet iconSet="3Flags" reverse="1">
        <cfvo type="percent" val="0"/>
        <cfvo type="formula" val="0"/>
        <cfvo type="formula" val="0" gte="0"/>
      </iconSet>
    </cfRule>
  </conditionalFormatting>
  <conditionalFormatting sqref="M91">
    <cfRule type="iconSet" priority="8501">
      <iconSet iconSet="3Flags" reverse="1">
        <cfvo type="percent" val="0"/>
        <cfvo type="formula" val="0"/>
        <cfvo type="formula" val="0" gte="0"/>
      </iconSet>
    </cfRule>
  </conditionalFormatting>
  <conditionalFormatting sqref="O91">
    <cfRule type="iconSet" priority="8500">
      <iconSet iconSet="3Flags" reverse="1">
        <cfvo type="percent" val="0"/>
        <cfvo type="formula" val="2610"/>
        <cfvo type="formula" val="2900" gte="0"/>
      </iconSet>
    </cfRule>
  </conditionalFormatting>
  <conditionalFormatting sqref="Q91">
    <cfRule type="iconSet" priority="8499">
      <iconSet iconSet="3Flags" reverse="1">
        <cfvo type="percent" val="0"/>
        <cfvo type="formula" val="0"/>
        <cfvo type="formula" val="0" gte="0"/>
      </iconSet>
    </cfRule>
  </conditionalFormatting>
  <conditionalFormatting sqref="Y91">
    <cfRule type="iconSet" priority="8495">
      <iconSet iconSet="3Flags" reverse="1">
        <cfvo type="percent" val="0"/>
        <cfvo type="formula" val="0"/>
        <cfvo type="formula" val="0" gte="0"/>
      </iconSet>
    </cfRule>
  </conditionalFormatting>
  <conditionalFormatting sqref="AA95">
    <cfRule type="iconSet" priority="8494">
      <iconSet iconSet="3Flags" reverse="1">
        <cfvo type="percent" val="0"/>
        <cfvo type="formula" val="0"/>
        <cfvo type="formula" val="0" gte="0"/>
      </iconSet>
    </cfRule>
  </conditionalFormatting>
  <conditionalFormatting sqref="E37">
    <cfRule type="iconSet" priority="8328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G37">
    <cfRule type="iconSet" priority="8327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I37">
    <cfRule type="iconSet" priority="8326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K37">
    <cfRule type="iconSet" priority="8325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M37">
    <cfRule type="iconSet" priority="8324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O37">
    <cfRule type="iconSet" priority="8323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Q37">
    <cfRule type="iconSet" priority="8322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S37">
    <cfRule type="iconSet" priority="8321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U37">
    <cfRule type="iconSet" priority="8320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W37">
    <cfRule type="iconSet" priority="8319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Y37:Z37">
    <cfRule type="iconSet" priority="8318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AA37">
    <cfRule type="iconSet" priority="8317">
      <iconSet iconSet="3Flags" reverse="1">
        <cfvo type="percent" val="0"/>
        <cfvo type="formula" val="62.625"/>
        <cfvo type="formula" val="69.5833333333333" gte="0"/>
      </iconSet>
    </cfRule>
  </conditionalFormatting>
  <conditionalFormatting sqref="G56">
    <cfRule type="iconSet" priority="8171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I56">
    <cfRule type="iconSet" priority="8170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K56">
    <cfRule type="iconSet" priority="8169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M56">
    <cfRule type="iconSet" priority="8168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O56">
    <cfRule type="iconSet" priority="8167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Q56">
    <cfRule type="iconSet" priority="8166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S56">
    <cfRule type="iconSet" priority="8165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U56">
    <cfRule type="iconSet" priority="8164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W56">
    <cfRule type="iconSet" priority="8163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Y56:Z56">
    <cfRule type="iconSet" priority="8162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AA56">
    <cfRule type="iconSet" priority="8161">
      <iconSet iconSet="3Flags" reverse="1">
        <cfvo type="percent" val="0"/>
        <cfvo type="formula" val="176.65125"/>
        <cfvo type="formula" val="196.279166666667" gte="0"/>
      </iconSet>
    </cfRule>
  </conditionalFormatting>
  <conditionalFormatting sqref="G58">
    <cfRule type="iconSet" priority="8159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I58">
    <cfRule type="iconSet" priority="8158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K58">
    <cfRule type="iconSet" priority="8157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M58">
    <cfRule type="iconSet" priority="8156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O58">
    <cfRule type="iconSet" priority="8155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Q58">
    <cfRule type="iconSet" priority="8154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S58">
    <cfRule type="iconSet" priority="8153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U58">
    <cfRule type="iconSet" priority="8152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W58">
    <cfRule type="iconSet" priority="8151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Y58:Z58">
    <cfRule type="iconSet" priority="8150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AA58">
    <cfRule type="iconSet" priority="8149">
      <iconSet iconSet="3Flags" reverse="1">
        <cfvo type="percent" val="0"/>
        <cfvo type="formula" val="493.550999999999"/>
        <cfvo type="formula" val="548.39" gte="0"/>
      </iconSet>
    </cfRule>
  </conditionalFormatting>
  <conditionalFormatting sqref="E59">
    <cfRule type="iconSet" priority="8148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G59">
    <cfRule type="iconSet" priority="8147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I59">
    <cfRule type="iconSet" priority="8146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K59">
    <cfRule type="iconSet" priority="8145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M59">
    <cfRule type="iconSet" priority="8144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O59">
    <cfRule type="iconSet" priority="8143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Q59">
    <cfRule type="iconSet" priority="8142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S59">
    <cfRule type="iconSet" priority="8141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U59">
    <cfRule type="iconSet" priority="8140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W59">
    <cfRule type="iconSet" priority="8139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Y59:Z59">
    <cfRule type="iconSet" priority="8138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AA59">
    <cfRule type="iconSet" priority="8137">
      <iconSet iconSet="3Flags" reverse="1">
        <cfvo type="percent" val="0"/>
        <cfvo type="formula" val="26.25"/>
        <cfvo type="formula" val="29.1666666666667" gte="0"/>
      </iconSet>
    </cfRule>
  </conditionalFormatting>
  <conditionalFormatting sqref="I60">
    <cfRule type="iconSet" priority="8134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K60">
    <cfRule type="iconSet" priority="8133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M60">
    <cfRule type="iconSet" priority="8132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O60">
    <cfRule type="iconSet" priority="8131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Q60">
    <cfRule type="iconSet" priority="8130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S60">
    <cfRule type="iconSet" priority="8129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U60">
    <cfRule type="iconSet" priority="8128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W60">
    <cfRule type="iconSet" priority="8127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Y60:Z60">
    <cfRule type="iconSet" priority="8126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AA60">
    <cfRule type="iconSet" priority="8125">
      <iconSet iconSet="3Flags" reverse="1">
        <cfvo type="percent" val="0"/>
        <cfvo type="formula" val="33.7064999999998"/>
        <cfvo type="formula" val="37.4516666666667" gte="0"/>
      </iconSet>
    </cfRule>
  </conditionalFormatting>
  <conditionalFormatting sqref="G61">
    <cfRule type="iconSet" priority="8123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I61">
    <cfRule type="iconSet" priority="8122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K61">
    <cfRule type="iconSet" priority="8121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M61">
    <cfRule type="iconSet" priority="8120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O61">
    <cfRule type="iconSet" priority="8119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Q61">
    <cfRule type="iconSet" priority="8118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S61">
    <cfRule type="iconSet" priority="8117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U61">
    <cfRule type="iconSet" priority="8116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W61">
    <cfRule type="iconSet" priority="8115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Y61:Z61">
    <cfRule type="iconSet" priority="8114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AA61">
    <cfRule type="iconSet" priority="8113">
      <iconSet iconSet="3Flags" reverse="1">
        <cfvo type="percent" val="0"/>
        <cfvo type="formula" val="53.85"/>
        <cfvo type="formula" val="59.8333333333333" gte="0"/>
      </iconSet>
    </cfRule>
  </conditionalFormatting>
  <conditionalFormatting sqref="E60">
    <cfRule type="iconSet" priority="6485">
      <iconSet iconSet="3Flags" reverse="1">
        <cfvo type="percent" val="0"/>
        <cfvo type="formula" val="12825"/>
        <cfvo type="formula" val="14250" gte="0"/>
      </iconSet>
    </cfRule>
  </conditionalFormatting>
  <conditionalFormatting sqref="E109">
    <cfRule type="iconSet" priority="6280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I109">
    <cfRule type="iconSet" priority="6278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K109">
    <cfRule type="iconSet" priority="6277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M109">
    <cfRule type="iconSet" priority="6276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O109">
    <cfRule type="iconSet" priority="6275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Q109">
    <cfRule type="iconSet" priority="6274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Y109">
    <cfRule type="iconSet" priority="6270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AA109">
    <cfRule type="iconSet" priority="6269">
      <iconSet iconSet="3Flags" reverse="1">
        <cfvo type="percent" val="0"/>
        <cfvo type="formula" val="1.2675"/>
        <cfvo type="formula" val="1.40833333333333" gte="0"/>
      </iconSet>
    </cfRule>
  </conditionalFormatting>
  <conditionalFormatting sqref="AA26">
    <cfRule type="iconSet" priority="5887">
      <iconSet iconSet="3Flags" reverse="1">
        <cfvo type="percent" val="0"/>
        <cfvo type="formula" val="90"/>
        <cfvo type="formula" val="100" gte="0"/>
      </iconSet>
    </cfRule>
  </conditionalFormatting>
  <conditionalFormatting sqref="I40">
    <cfRule type="iconSet" priority="5846">
      <iconSet iconSet="3Flags" reverse="1">
        <cfvo type="percent" val="0"/>
        <cfvo type="formula" val="54.7875"/>
        <cfvo type="formula" val="60.875" gte="0"/>
      </iconSet>
    </cfRule>
  </conditionalFormatting>
  <conditionalFormatting sqref="I43">
    <cfRule type="iconSet" priority="5810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I45">
    <cfRule type="iconSet" priority="5798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I48">
    <cfRule type="iconSet" priority="5774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I49">
    <cfRule type="iconSet" priority="5762">
      <iconSet iconSet="3Flags" reverse="1">
        <cfvo type="percent" val="0"/>
        <cfvo type="formula" val="0.675"/>
        <cfvo type="formula" val="0.75" gte="0"/>
      </iconSet>
    </cfRule>
  </conditionalFormatting>
  <conditionalFormatting sqref="E111">
    <cfRule type="iconSet" priority="5520">
      <iconSet iconSet="3Flags" reverse="1">
        <cfvo type="percent" val="0"/>
        <cfvo type="formula" val="152.155499999998"/>
        <cfvo type="formula" val="169.061666666667" gte="0"/>
      </iconSet>
    </cfRule>
  </conditionalFormatting>
  <conditionalFormatting sqref="G111">
    <cfRule type="iconSet" priority="5519">
      <iconSet iconSet="3Flags" reverse="1">
        <cfvo type="percent" val="0"/>
        <cfvo type="formula" val="152.155499999998"/>
        <cfvo type="formula" val="169.061666666667" gte="0"/>
      </iconSet>
    </cfRule>
  </conditionalFormatting>
  <conditionalFormatting sqref="I111">
    <cfRule type="iconSet" priority="5518">
      <iconSet iconSet="3Flags" reverse="1">
        <cfvo type="percent" val="0"/>
        <cfvo type="formula" val="152.155499999998"/>
        <cfvo type="formula" val="169.061666666667" gte="0"/>
      </iconSet>
    </cfRule>
  </conditionalFormatting>
  <conditionalFormatting sqref="K111">
    <cfRule type="iconSet" priority="5517">
      <iconSet iconSet="3Flags" reverse="1">
        <cfvo type="percent" val="0"/>
        <cfvo type="formula" val="152.155499999998"/>
        <cfvo type="formula" val="169.061666666667" gte="0"/>
      </iconSet>
    </cfRule>
  </conditionalFormatting>
  <conditionalFormatting sqref="Y117">
    <cfRule type="iconSet" priority="5498">
      <iconSet iconSet="3Flags" reverse="1">
        <cfvo type="percent" val="0"/>
        <cfvo type="formula" val="135"/>
        <cfvo type="formula" val="150" gte="0"/>
      </iconSet>
    </cfRule>
  </conditionalFormatting>
  <conditionalFormatting sqref="AA117">
    <cfRule type="iconSet" priority="5497">
      <iconSet iconSet="3Flags" reverse="1">
        <cfvo type="percent" val="0"/>
        <cfvo type="formula" val="135"/>
        <cfvo type="formula" val="150" gte="0"/>
      </iconSet>
    </cfRule>
  </conditionalFormatting>
  <conditionalFormatting sqref="U38">
    <cfRule type="iconSet" priority="4827">
      <iconSet iconSet="3Flags" reverse="1">
        <cfvo type="percent" val="0"/>
        <cfvo type="formula" val="16.8517499999999"/>
        <cfvo type="formula" val="18.7241666666667" gte="0"/>
      </iconSet>
    </cfRule>
  </conditionalFormatting>
  <conditionalFormatting sqref="W38">
    <cfRule type="iconSet" priority="4826">
      <iconSet iconSet="3Flags" reverse="1">
        <cfvo type="percent" val="0"/>
        <cfvo type="formula" val="16.8517499999999"/>
        <cfvo type="formula" val="18.7241666666667" gte="0"/>
      </iconSet>
    </cfRule>
  </conditionalFormatting>
  <conditionalFormatting sqref="Y38:Z38">
    <cfRule type="iconSet" priority="4825">
      <iconSet iconSet="3Flags" reverse="1">
        <cfvo type="percent" val="0"/>
        <cfvo type="formula" val="16.8517499999999"/>
        <cfvo type="formula" val="18.7241666666667" gte="0"/>
      </iconSet>
    </cfRule>
  </conditionalFormatting>
  <conditionalFormatting sqref="AA38">
    <cfRule type="iconSet" priority="4824">
      <iconSet iconSet="3Flags" reverse="1">
        <cfvo type="percent" val="0"/>
        <cfvo type="formula" val="16.8517499999999"/>
        <cfvo type="formula" val="18.7241666666667" gte="0"/>
      </iconSet>
    </cfRule>
  </conditionalFormatting>
  <conditionalFormatting sqref="K39">
    <cfRule type="iconSet" priority="4821">
      <iconSet iconSet="3Flags" reverse="1">
        <cfvo type="percent" val="0"/>
        <cfvo type="formula" val="6.6375"/>
        <cfvo type="formula" val="7.375" gte="0"/>
      </iconSet>
    </cfRule>
  </conditionalFormatting>
  <conditionalFormatting sqref="M39">
    <cfRule type="iconSet" priority="4820">
      <iconSet iconSet="3Flags" reverse="1">
        <cfvo type="percent" val="0"/>
        <cfvo type="formula" val="6.6375"/>
        <cfvo type="formula" val="7.375" gte="0"/>
      </iconSet>
    </cfRule>
  </conditionalFormatting>
  <conditionalFormatting sqref="Q39">
    <cfRule type="iconSet" priority="4818">
      <iconSet iconSet="3Flags" reverse="1">
        <cfvo type="percent" val="0"/>
        <cfvo type="formula" val="6.6375"/>
        <cfvo type="formula" val="7.375" gte="0"/>
      </iconSet>
    </cfRule>
  </conditionalFormatting>
  <conditionalFormatting sqref="U39">
    <cfRule type="iconSet" priority="4816">
      <iconSet iconSet="3Flags" reverse="1">
        <cfvo type="percent" val="0"/>
        <cfvo type="formula" val="6.6375"/>
        <cfvo type="formula" val="7.375" gte="0"/>
      </iconSet>
    </cfRule>
  </conditionalFormatting>
  <conditionalFormatting sqref="W39">
    <cfRule type="iconSet" priority="4815">
      <iconSet iconSet="3Flags" reverse="1">
        <cfvo type="percent" val="0"/>
        <cfvo type="formula" val="6.6375"/>
        <cfvo type="formula" val="7.375" gte="0"/>
      </iconSet>
    </cfRule>
  </conditionalFormatting>
  <conditionalFormatting sqref="Y39:Z39">
    <cfRule type="iconSet" priority="4814">
      <iconSet iconSet="3Flags" reverse="1">
        <cfvo type="percent" val="0"/>
        <cfvo type="formula" val="6.6375"/>
        <cfvo type="formula" val="7.375" gte="0"/>
      </iconSet>
    </cfRule>
  </conditionalFormatting>
  <conditionalFormatting sqref="AA39">
    <cfRule type="iconSet" priority="4813">
      <iconSet iconSet="3Flags" reverse="1">
        <cfvo type="percent" val="0"/>
        <cfvo type="formula" val="6.6375"/>
        <cfvo type="formula" val="7.375" gte="0"/>
      </iconSet>
    </cfRule>
  </conditionalFormatting>
  <conditionalFormatting sqref="M40">
    <cfRule type="iconSet" priority="4809">
      <iconSet iconSet="3Flags" reverse="1">
        <cfvo type="percent" val="0"/>
        <cfvo type="formula" val="54.7875"/>
        <cfvo type="formula" val="60.875" gte="0"/>
      </iconSet>
    </cfRule>
  </conditionalFormatting>
  <conditionalFormatting sqref="S40">
    <cfRule type="iconSet" priority="4806">
      <iconSet iconSet="3Flags" reverse="1">
        <cfvo type="percent" val="0"/>
        <cfvo type="formula" val="54.7875"/>
        <cfvo type="formula" val="60.875" gte="0"/>
      </iconSet>
    </cfRule>
  </conditionalFormatting>
  <conditionalFormatting sqref="U40">
    <cfRule type="iconSet" priority="4805">
      <iconSet iconSet="3Flags" reverse="1">
        <cfvo type="percent" val="0"/>
        <cfvo type="formula" val="54.7875"/>
        <cfvo type="formula" val="60.875" gte="0"/>
      </iconSet>
    </cfRule>
  </conditionalFormatting>
  <conditionalFormatting sqref="W40">
    <cfRule type="iconSet" priority="4804">
      <iconSet iconSet="3Flags" reverse="1">
        <cfvo type="percent" val="0"/>
        <cfvo type="formula" val="54.7875"/>
        <cfvo type="formula" val="60.875" gte="0"/>
      </iconSet>
    </cfRule>
  </conditionalFormatting>
  <conditionalFormatting sqref="Y40:Z40">
    <cfRule type="iconSet" priority="4803">
      <iconSet iconSet="3Flags" reverse="1">
        <cfvo type="percent" val="0"/>
        <cfvo type="formula" val="54.7875"/>
        <cfvo type="formula" val="60.875" gte="0"/>
      </iconSet>
    </cfRule>
  </conditionalFormatting>
  <conditionalFormatting sqref="AA40">
    <cfRule type="iconSet" priority="4802">
      <iconSet iconSet="3Flags" reverse="1">
        <cfvo type="percent" val="0"/>
        <cfvo type="formula" val="54.7875"/>
        <cfvo type="formula" val="60.875" gte="0"/>
      </iconSet>
    </cfRule>
  </conditionalFormatting>
  <conditionalFormatting sqref="M41">
    <cfRule type="iconSet" priority="4798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Q41">
    <cfRule type="iconSet" priority="4796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S41">
    <cfRule type="iconSet" priority="4795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U41">
    <cfRule type="iconSet" priority="4794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W41">
    <cfRule type="iconSet" priority="4793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Y41:Z41">
    <cfRule type="iconSet" priority="4792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AA41">
    <cfRule type="iconSet" priority="4791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K43">
    <cfRule type="iconSet" priority="4776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M43">
    <cfRule type="iconSet" priority="4775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O43">
    <cfRule type="iconSet" priority="4774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Q43">
    <cfRule type="iconSet" priority="4773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S43">
    <cfRule type="iconSet" priority="4772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U43">
    <cfRule type="iconSet" priority="4771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W43">
    <cfRule type="iconSet" priority="4770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Y43:Z43">
    <cfRule type="iconSet" priority="4769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AA43">
    <cfRule type="iconSet" priority="4768">
      <iconSet iconSet="3Flags" reverse="1">
        <cfvo type="percent" val="0"/>
        <cfvo type="formula" val="169.571249999999"/>
        <cfvo type="formula" val="188.412499999999" gte="0"/>
      </iconSet>
    </cfRule>
  </conditionalFormatting>
  <conditionalFormatting sqref="K45">
    <cfRule type="iconSet" priority="4765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M45">
    <cfRule type="iconSet" priority="4764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O45">
    <cfRule type="iconSet" priority="4763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Q45">
    <cfRule type="iconSet" priority="4762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S45">
    <cfRule type="iconSet" priority="4761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U45">
    <cfRule type="iconSet" priority="4760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W45">
    <cfRule type="iconSet" priority="4759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Y45:Z45">
    <cfRule type="iconSet" priority="4758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AA45">
    <cfRule type="iconSet" priority="4757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M46">
    <cfRule type="iconSet" priority="4753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O46">
    <cfRule type="iconSet" priority="4752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Q46">
    <cfRule type="iconSet" priority="4751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U46">
    <cfRule type="iconSet" priority="4749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W46">
    <cfRule type="iconSet" priority="4748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Y46:Z46">
    <cfRule type="iconSet" priority="4747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AA46">
    <cfRule type="iconSet" priority="4746">
      <iconSet iconSet="3Flags" reverse="1">
        <cfvo type="percent" val="0"/>
        <cfvo type="formula" val="28.7205"/>
        <cfvo type="formula" val="31.9116666666667" gte="0"/>
      </iconSet>
    </cfRule>
  </conditionalFormatting>
  <conditionalFormatting sqref="K48">
    <cfRule type="iconSet" priority="4743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M48">
    <cfRule type="iconSet" priority="4742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O48">
    <cfRule type="iconSet" priority="4741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Q48">
    <cfRule type="iconSet" priority="4740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S48">
    <cfRule type="iconSet" priority="4739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U48">
    <cfRule type="iconSet" priority="4738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W48">
    <cfRule type="iconSet" priority="4737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Y48:Z48">
    <cfRule type="iconSet" priority="4736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AA48">
    <cfRule type="iconSet" priority="4735">
      <iconSet iconSet="3Flags" reverse="1">
        <cfvo type="percent" val="0"/>
        <cfvo type="formula" val="4.38"/>
        <cfvo type="formula" val="4.86666666666666" gte="0"/>
      </iconSet>
    </cfRule>
  </conditionalFormatting>
  <conditionalFormatting sqref="K49">
    <cfRule type="iconSet" priority="4732">
      <iconSet iconSet="3Flags" reverse="1">
        <cfvo type="percent" val="0"/>
        <cfvo type="formula" val="0.675"/>
        <cfvo type="formula" val="0.75" gte="0"/>
      </iconSet>
    </cfRule>
  </conditionalFormatting>
  <conditionalFormatting sqref="M49">
    <cfRule type="iconSet" priority="4731">
      <iconSet iconSet="3Flags" reverse="1">
        <cfvo type="percent" val="0"/>
        <cfvo type="formula" val="0.675"/>
        <cfvo type="formula" val="0.75" gte="0"/>
      </iconSet>
    </cfRule>
  </conditionalFormatting>
  <conditionalFormatting sqref="O49">
    <cfRule type="iconSet" priority="4730">
      <iconSet iconSet="3Flags" reverse="1">
        <cfvo type="percent" val="0"/>
        <cfvo type="formula" val="0.675"/>
        <cfvo type="formula" val="0.75" gte="0"/>
      </iconSet>
    </cfRule>
  </conditionalFormatting>
  <conditionalFormatting sqref="Q49">
    <cfRule type="iconSet" priority="4729">
      <iconSet iconSet="3Flags" reverse="1">
        <cfvo type="percent" val="0"/>
        <cfvo type="formula" val="0.675"/>
        <cfvo type="formula" val="0.75" gte="0"/>
      </iconSet>
    </cfRule>
  </conditionalFormatting>
  <conditionalFormatting sqref="S49">
    <cfRule type="iconSet" priority="4728">
      <iconSet iconSet="3Flags" reverse="1">
        <cfvo type="percent" val="0"/>
        <cfvo type="formula" val="0.675"/>
        <cfvo type="formula" val="0.75" gte="0"/>
      </iconSet>
    </cfRule>
  </conditionalFormatting>
  <conditionalFormatting sqref="U49">
    <cfRule type="iconSet" priority="4727">
      <iconSet iconSet="3Flags" reverse="1">
        <cfvo type="percent" val="0"/>
        <cfvo type="formula" val="0.675"/>
        <cfvo type="formula" val="0.75" gte="0"/>
      </iconSet>
    </cfRule>
  </conditionalFormatting>
  <conditionalFormatting sqref="W49">
    <cfRule type="iconSet" priority="4726">
      <iconSet iconSet="3Flags" reverse="1">
        <cfvo type="percent" val="0"/>
        <cfvo type="formula" val="0.675"/>
        <cfvo type="formula" val="0.75" gte="0"/>
      </iconSet>
    </cfRule>
  </conditionalFormatting>
  <conditionalFormatting sqref="Y49:Z49">
    <cfRule type="iconSet" priority="4725">
      <iconSet iconSet="3Flags" reverse="1">
        <cfvo type="percent" val="0"/>
        <cfvo type="formula" val="0.675"/>
        <cfvo type="formula" val="0.75" gte="0"/>
      </iconSet>
    </cfRule>
  </conditionalFormatting>
  <conditionalFormatting sqref="AA49">
    <cfRule type="iconSet" priority="4724">
      <iconSet iconSet="3Flags" reverse="1">
        <cfvo type="percent" val="0"/>
        <cfvo type="formula" val="0.675"/>
        <cfvo type="formula" val="0.75" gte="0"/>
      </iconSet>
    </cfRule>
  </conditionalFormatting>
  <conditionalFormatting sqref="O51">
    <cfRule type="iconSet" priority="4719">
      <iconSet iconSet="3Flags" reverse="1">
        <cfvo type="percent" val="0"/>
        <cfvo type="formula" val="22.125"/>
        <cfvo type="formula" val="24.5833333333333" gte="0"/>
      </iconSet>
    </cfRule>
  </conditionalFormatting>
  <conditionalFormatting sqref="U51">
    <cfRule type="iconSet" priority="4716">
      <iconSet iconSet="3Flags" reverse="1">
        <cfvo type="percent" val="0"/>
        <cfvo type="formula" val="22.125"/>
        <cfvo type="formula" val="24.5833333333333" gte="0"/>
      </iconSet>
    </cfRule>
  </conditionalFormatting>
  <conditionalFormatting sqref="W51">
    <cfRule type="iconSet" priority="4715">
      <iconSet iconSet="3Flags" reverse="1">
        <cfvo type="percent" val="0"/>
        <cfvo type="formula" val="22.125"/>
        <cfvo type="formula" val="24.5833333333333" gte="0"/>
      </iconSet>
    </cfRule>
  </conditionalFormatting>
  <conditionalFormatting sqref="Y51:Z51">
    <cfRule type="iconSet" priority="4714">
      <iconSet iconSet="3Flags" reverse="1">
        <cfvo type="percent" val="0"/>
        <cfvo type="formula" val="22.125"/>
        <cfvo type="formula" val="24.5833333333333" gte="0"/>
      </iconSet>
    </cfRule>
  </conditionalFormatting>
  <conditionalFormatting sqref="AA51">
    <cfRule type="iconSet" priority="4713">
      <iconSet iconSet="3Flags" reverse="1">
        <cfvo type="percent" val="0"/>
        <cfvo type="formula" val="22.125"/>
        <cfvo type="formula" val="24.5833333333333" gte="0"/>
      </iconSet>
    </cfRule>
  </conditionalFormatting>
  <conditionalFormatting sqref="Y111">
    <cfRule type="iconSet" priority="4487">
      <iconSet iconSet="3Flags" reverse="1">
        <cfvo type="percent" val="0"/>
        <cfvo type="formula" val="152.155499999999"/>
        <cfvo type="formula" val="169.061666666667" gte="0"/>
      </iconSet>
    </cfRule>
  </conditionalFormatting>
  <conditionalFormatting sqref="AA111">
    <cfRule type="iconSet" priority="4486">
      <iconSet iconSet="3Flags" reverse="1">
        <cfvo type="percent" val="0"/>
        <cfvo type="formula" val="152.155499999999"/>
        <cfvo type="formula" val="169.061666666667" gte="0"/>
      </iconSet>
    </cfRule>
  </conditionalFormatting>
  <conditionalFormatting sqref="E33:E35 G33:G35">
    <cfRule type="iconSet" priority="3895">
      <iconSet iconSet="3Flags" reverse="1">
        <cfvo type="percent" val="0"/>
        <cfvo type="formula" val="284.22"/>
        <cfvo type="formula" val="315.8" gte="0"/>
      </iconSet>
    </cfRule>
  </conditionalFormatting>
  <conditionalFormatting sqref="M30">
    <cfRule type="iconSet" priority="3890">
      <iconSet iconSet="3Flags" reverse="1">
        <cfvo type="percent" val="0"/>
        <cfvo type="formula" val="585"/>
        <cfvo type="formula" val="650" gte="0"/>
      </iconSet>
    </cfRule>
  </conditionalFormatting>
  <conditionalFormatting sqref="S30">
    <cfRule type="iconSet" priority="3887">
      <iconSet iconSet="3Flags" reverse="1">
        <cfvo type="percent" val="0"/>
        <cfvo type="formula" val="585"/>
        <cfvo type="formula" val="650" gte="0"/>
      </iconSet>
    </cfRule>
  </conditionalFormatting>
  <conditionalFormatting sqref="O76">
    <cfRule type="iconSet" priority="3725">
      <iconSet iconSet="3Flags" reverse="1">
        <cfvo type="percent" val="0"/>
        <cfvo type="formula" val="45"/>
        <cfvo type="formula" val="50" gte="0"/>
      </iconSet>
    </cfRule>
  </conditionalFormatting>
  <conditionalFormatting sqref="O77">
    <cfRule type="iconSet" priority="3713">
      <iconSet iconSet="3Flags" reverse="1">
        <cfvo type="percent" val="0"/>
        <cfvo type="formula" val="33.633"/>
        <cfvo type="formula" val="37.3699999999999" gte="0"/>
      </iconSet>
    </cfRule>
  </conditionalFormatting>
  <conditionalFormatting sqref="M78">
    <cfRule type="iconSet" priority="3703">
      <iconSet iconSet="3Flags" reverse="1">
        <cfvo type="percent" val="0"/>
        <cfvo type="formula" val="90"/>
        <cfvo type="formula" val="100" gte="0"/>
      </iconSet>
    </cfRule>
  </conditionalFormatting>
  <conditionalFormatting sqref="O78">
    <cfRule type="iconSet" priority="3702">
      <iconSet iconSet="3Flags" reverse="1">
        <cfvo type="percent" val="0"/>
        <cfvo type="formula" val="90"/>
        <cfvo type="formula" val="100" gte="0"/>
      </iconSet>
    </cfRule>
  </conditionalFormatting>
  <conditionalFormatting sqref="S85:S86 S89:S95 S98:S110 S113:S116 S119:S122">
    <cfRule type="iconSet" priority="1057">
      <iconSet iconSet="3Flags" reverse="1">
        <cfvo type="percent" val="0"/>
        <cfvo type="formula" val="0"/>
        <cfvo type="formula" val="0" gte="0"/>
      </iconSet>
    </cfRule>
  </conditionalFormatting>
  <conditionalFormatting sqref="O14">
    <cfRule type="iconSet" priority="843">
      <iconSet iconSet="3Flags" reverse="1">
        <cfvo type="percent" val="0"/>
        <cfvo type="formula" val="3358.89"/>
        <cfvo type="formula" val="3732.1" gte="0"/>
      </iconSet>
    </cfRule>
  </conditionalFormatting>
  <conditionalFormatting sqref="Q14">
    <cfRule type="iconSet" priority="842">
      <iconSet iconSet="3Flags" reverse="1">
        <cfvo type="percent" val="0"/>
        <cfvo type="formula" val="2918.52"/>
        <cfvo type="formula" val="3242.8" gte="0"/>
      </iconSet>
    </cfRule>
  </conditionalFormatting>
  <conditionalFormatting sqref="S14">
    <cfRule type="iconSet" priority="841">
      <iconSet iconSet="3Flags" reverse="1">
        <cfvo type="percent" val="0"/>
        <cfvo type="formula" val="2333.52"/>
        <cfvo type="formula" val="2592.8" gte="0"/>
      </iconSet>
    </cfRule>
  </conditionalFormatting>
  <conditionalFormatting sqref="U14">
    <cfRule type="iconSet" priority="840">
      <iconSet iconSet="3Flags" reverse="1">
        <cfvo type="percent" val="0"/>
        <cfvo type="formula" val="2333.52"/>
        <cfvo type="formula" val="2592.8" gte="0"/>
      </iconSet>
    </cfRule>
  </conditionalFormatting>
  <conditionalFormatting sqref="W14">
    <cfRule type="iconSet" priority="839">
      <iconSet iconSet="3Flags" reverse="1">
        <cfvo type="percent" val="0"/>
        <cfvo type="formula" val="2333.52"/>
        <cfvo type="formula" val="2592.8" gte="0"/>
      </iconSet>
    </cfRule>
  </conditionalFormatting>
  <conditionalFormatting sqref="Y14">
    <cfRule type="iconSet" priority="838">
      <iconSet iconSet="3Flags" reverse="1">
        <cfvo type="percent" val="0"/>
        <cfvo type="formula" val="2333.52"/>
        <cfvo type="formula" val="2592.8" gte="0"/>
      </iconSet>
    </cfRule>
  </conditionalFormatting>
  <conditionalFormatting sqref="AA14">
    <cfRule type="iconSet" priority="837">
      <iconSet iconSet="3Flags" reverse="1">
        <cfvo type="percent" val="0"/>
        <cfvo type="formula" val="2226.159"/>
        <cfvo type="formula" val="2473.51" gte="0"/>
      </iconSet>
    </cfRule>
  </conditionalFormatting>
  <conditionalFormatting sqref="E18">
    <cfRule type="iconSet" priority="836">
      <iconSet iconSet="3Flags" reverse="1">
        <cfvo type="percent" val="0"/>
        <cfvo type="formula" val="297.504"/>
        <cfvo type="formula" val="330.56" gte="0"/>
      </iconSet>
    </cfRule>
  </conditionalFormatting>
  <conditionalFormatting sqref="O15">
    <cfRule type="iconSet" priority="831">
      <iconSet iconSet="3Flags" reverse="1">
        <cfvo type="percent" val="0"/>
        <cfvo type="formula" val="335.7"/>
        <cfvo type="formula" val="373" gte="0"/>
      </iconSet>
    </cfRule>
  </conditionalFormatting>
  <conditionalFormatting sqref="Q15">
    <cfRule type="iconSet" priority="830">
      <iconSet iconSet="3Flags" reverse="1">
        <cfvo type="percent" val="0"/>
        <cfvo type="formula" val="335.7"/>
        <cfvo type="formula" val="373" gte="0"/>
      </iconSet>
    </cfRule>
  </conditionalFormatting>
  <conditionalFormatting sqref="S15">
    <cfRule type="iconSet" priority="829">
      <iconSet iconSet="3Flags" reverse="1">
        <cfvo type="percent" val="0"/>
        <cfvo type="formula" val="335.7"/>
        <cfvo type="formula" val="373" gte="0"/>
      </iconSet>
    </cfRule>
  </conditionalFormatting>
  <conditionalFormatting sqref="U15">
    <cfRule type="iconSet" priority="828">
      <iconSet iconSet="3Flags" reverse="1">
        <cfvo type="percent" val="0"/>
        <cfvo type="formula" val="335.7"/>
        <cfvo type="formula" val="373" gte="0"/>
      </iconSet>
    </cfRule>
  </conditionalFormatting>
  <conditionalFormatting sqref="W15">
    <cfRule type="iconSet" priority="827">
      <iconSet iconSet="3Flags" reverse="1">
        <cfvo type="percent" val="0"/>
        <cfvo type="formula" val="335.7"/>
        <cfvo type="formula" val="373" gte="0"/>
      </iconSet>
    </cfRule>
  </conditionalFormatting>
  <conditionalFormatting sqref="Y15">
    <cfRule type="iconSet" priority="826">
      <iconSet iconSet="3Flags" reverse="1">
        <cfvo type="percent" val="0"/>
        <cfvo type="formula" val="335.7"/>
        <cfvo type="formula" val="373" gte="0"/>
      </iconSet>
    </cfRule>
  </conditionalFormatting>
  <conditionalFormatting sqref="AA15">
    <cfRule type="iconSet" priority="825">
      <iconSet iconSet="3Flags" reverse="1">
        <cfvo type="percent" val="0"/>
        <cfvo type="formula" val="335.7"/>
        <cfvo type="formula" val="373" gte="0"/>
      </iconSet>
    </cfRule>
  </conditionalFormatting>
  <conditionalFormatting sqref="O16">
    <cfRule type="iconSet" priority="819">
      <iconSet iconSet="3Flags" reverse="1">
        <cfvo type="percent" val="0"/>
        <cfvo type="formula" val="962.775"/>
        <cfvo type="formula" val="1069.75" gte="0"/>
      </iconSet>
    </cfRule>
  </conditionalFormatting>
  <conditionalFormatting sqref="Q16">
    <cfRule type="iconSet" priority="818">
      <iconSet iconSet="3Flags" reverse="1">
        <cfvo type="percent" val="0"/>
        <cfvo type="formula" val="962.775"/>
        <cfvo type="formula" val="1069.75" gte="0"/>
      </iconSet>
    </cfRule>
  </conditionalFormatting>
  <conditionalFormatting sqref="S16">
    <cfRule type="iconSet" priority="817">
      <iconSet iconSet="3Flags" reverse="1">
        <cfvo type="percent" val="0"/>
        <cfvo type="formula" val="962.775"/>
        <cfvo type="formula" val="1069.75" gte="0"/>
      </iconSet>
    </cfRule>
  </conditionalFormatting>
  <conditionalFormatting sqref="U16">
    <cfRule type="iconSet" priority="816">
      <iconSet iconSet="3Flags" reverse="1">
        <cfvo type="percent" val="0"/>
        <cfvo type="formula" val="962.775"/>
        <cfvo type="formula" val="1069.75" gte="0"/>
      </iconSet>
    </cfRule>
  </conditionalFormatting>
  <conditionalFormatting sqref="W16">
    <cfRule type="iconSet" priority="815">
      <iconSet iconSet="3Flags" reverse="1">
        <cfvo type="percent" val="0"/>
        <cfvo type="formula" val="962.775"/>
        <cfvo type="formula" val="1069.75" gte="0"/>
      </iconSet>
    </cfRule>
  </conditionalFormatting>
  <conditionalFormatting sqref="Y16">
    <cfRule type="iconSet" priority="814">
      <iconSet iconSet="3Flags" reverse="1">
        <cfvo type="percent" val="0"/>
        <cfvo type="formula" val="962.775"/>
        <cfvo type="formula" val="1069.75" gte="0"/>
      </iconSet>
    </cfRule>
  </conditionalFormatting>
  <conditionalFormatting sqref="AA16">
    <cfRule type="iconSet" priority="813">
      <iconSet iconSet="3Flags" reverse="1">
        <cfvo type="percent" val="0"/>
        <cfvo type="formula" val="962.775"/>
        <cfvo type="formula" val="1069.75" gte="0"/>
      </iconSet>
    </cfRule>
  </conditionalFormatting>
  <conditionalFormatting sqref="O17">
    <cfRule type="iconSet" priority="807">
      <iconSet iconSet="3Flags" reverse="1">
        <cfvo type="percent" val="0"/>
        <cfvo type="formula" val="336.24"/>
        <cfvo type="formula" val="373.6" gte="0"/>
      </iconSet>
    </cfRule>
  </conditionalFormatting>
  <conditionalFormatting sqref="Q17">
    <cfRule type="iconSet" priority="806">
      <iconSet iconSet="3Flags" reverse="1">
        <cfvo type="percent" val="0"/>
        <cfvo type="formula" val="336.24"/>
        <cfvo type="formula" val="373.6" gte="0"/>
      </iconSet>
    </cfRule>
  </conditionalFormatting>
  <conditionalFormatting sqref="S17">
    <cfRule type="iconSet" priority="805">
      <iconSet iconSet="3Flags" reverse="1">
        <cfvo type="percent" val="0"/>
        <cfvo type="formula" val="336.24"/>
        <cfvo type="formula" val="373.6" gte="0"/>
      </iconSet>
    </cfRule>
  </conditionalFormatting>
  <conditionalFormatting sqref="U17">
    <cfRule type="iconSet" priority="804">
      <iconSet iconSet="3Flags" reverse="1">
        <cfvo type="percent" val="0"/>
        <cfvo type="formula" val="336.24"/>
        <cfvo type="formula" val="373.6" gte="0"/>
      </iconSet>
    </cfRule>
  </conditionalFormatting>
  <conditionalFormatting sqref="W17">
    <cfRule type="iconSet" priority="803">
      <iconSet iconSet="3Flags" reverse="1">
        <cfvo type="percent" val="0"/>
        <cfvo type="formula" val="336.24"/>
        <cfvo type="formula" val="373.6" gte="0"/>
      </iconSet>
    </cfRule>
  </conditionalFormatting>
  <conditionalFormatting sqref="Y17">
    <cfRule type="iconSet" priority="802">
      <iconSet iconSet="3Flags" reverse="1">
        <cfvo type="percent" val="0"/>
        <cfvo type="formula" val="336.24"/>
        <cfvo type="formula" val="373.6" gte="0"/>
      </iconSet>
    </cfRule>
  </conditionalFormatting>
  <conditionalFormatting sqref="AA17">
    <cfRule type="iconSet" priority="801">
      <iconSet iconSet="3Flags" reverse="1">
        <cfvo type="percent" val="0"/>
        <cfvo type="formula" val="336.24"/>
        <cfvo type="formula" val="373.6" gte="0"/>
      </iconSet>
    </cfRule>
  </conditionalFormatting>
  <conditionalFormatting sqref="O20">
    <cfRule type="iconSet" priority="793">
      <iconSet iconSet="3Flags" reverse="1">
        <cfvo type="percent" val="0"/>
        <cfvo type="formula" val="77.4"/>
        <cfvo type="formula" val="86" gte="0"/>
      </iconSet>
    </cfRule>
  </conditionalFormatting>
  <conditionalFormatting sqref="Q20">
    <cfRule type="iconSet" priority="792">
      <iconSet iconSet="3Flags" reverse="1">
        <cfvo type="percent" val="0"/>
        <cfvo type="formula" val="102.375"/>
        <cfvo type="formula" val="113.75" gte="0"/>
      </iconSet>
    </cfRule>
  </conditionalFormatting>
  <conditionalFormatting sqref="S20">
    <cfRule type="iconSet" priority="791">
      <iconSet iconSet="3Flags" reverse="1">
        <cfvo type="percent" val="0"/>
        <cfvo type="formula" val="102.375"/>
        <cfvo type="formula" val="113.75" gte="0"/>
      </iconSet>
    </cfRule>
  </conditionalFormatting>
  <conditionalFormatting sqref="U20">
    <cfRule type="iconSet" priority="790">
      <iconSet iconSet="3Flags" reverse="1">
        <cfvo type="percent" val="0"/>
        <cfvo type="formula" val="102.375"/>
        <cfvo type="formula" val="113.75" gte="0"/>
      </iconSet>
    </cfRule>
  </conditionalFormatting>
  <conditionalFormatting sqref="W20">
    <cfRule type="iconSet" priority="789">
      <iconSet iconSet="3Flags" reverse="1">
        <cfvo type="percent" val="0"/>
        <cfvo type="formula" val="102.375"/>
        <cfvo type="formula" val="113.75" gte="0"/>
      </iconSet>
    </cfRule>
  </conditionalFormatting>
  <conditionalFormatting sqref="Y20">
    <cfRule type="iconSet" priority="788">
      <iconSet iconSet="3Flags" reverse="1">
        <cfvo type="percent" val="0"/>
        <cfvo type="formula" val="102.375"/>
        <cfvo type="formula" val="113.75" gte="0"/>
      </iconSet>
    </cfRule>
  </conditionalFormatting>
  <conditionalFormatting sqref="AA20">
    <cfRule type="iconSet" priority="787">
      <iconSet iconSet="3Flags" reverse="1">
        <cfvo type="percent" val="0"/>
        <cfvo type="formula" val="102.375"/>
        <cfvo type="formula" val="113.75" gte="0"/>
      </iconSet>
    </cfRule>
  </conditionalFormatting>
  <conditionalFormatting sqref="O21">
    <cfRule type="iconSet" priority="781">
      <iconSet iconSet="3Flags" reverse="1">
        <cfvo type="percent" val="0"/>
        <cfvo type="formula" val="77.4"/>
        <cfvo type="formula" val="86" gte="0"/>
      </iconSet>
    </cfRule>
  </conditionalFormatting>
  <conditionalFormatting sqref="Q21">
    <cfRule type="iconSet" priority="780">
      <iconSet iconSet="3Flags" reverse="1">
        <cfvo type="percent" val="0"/>
        <cfvo type="formula" val="107.055"/>
        <cfvo type="formula" val="118.95" gte="0"/>
      </iconSet>
    </cfRule>
  </conditionalFormatting>
  <conditionalFormatting sqref="S21">
    <cfRule type="iconSet" priority="779">
      <iconSet iconSet="3Flags" reverse="1">
        <cfvo type="percent" val="0"/>
        <cfvo type="formula" val="107.055"/>
        <cfvo type="formula" val="118.95" gte="0"/>
      </iconSet>
    </cfRule>
  </conditionalFormatting>
  <conditionalFormatting sqref="U21">
    <cfRule type="iconSet" priority="778">
      <iconSet iconSet="3Flags" reverse="1">
        <cfvo type="percent" val="0"/>
        <cfvo type="formula" val="107.055"/>
        <cfvo type="formula" val="118.95" gte="0"/>
      </iconSet>
    </cfRule>
  </conditionalFormatting>
  <conditionalFormatting sqref="W21">
    <cfRule type="iconSet" priority="777">
      <iconSet iconSet="3Flags" reverse="1">
        <cfvo type="percent" val="0"/>
        <cfvo type="formula" val="107.055"/>
        <cfvo type="formula" val="118.95" gte="0"/>
      </iconSet>
    </cfRule>
  </conditionalFormatting>
  <conditionalFormatting sqref="Y21">
    <cfRule type="iconSet" priority="776">
      <iconSet iconSet="3Flags" reverse="1">
        <cfvo type="percent" val="0"/>
        <cfvo type="formula" val="107.055"/>
        <cfvo type="formula" val="118.95" gte="0"/>
      </iconSet>
    </cfRule>
  </conditionalFormatting>
  <conditionalFormatting sqref="AA21">
    <cfRule type="iconSet" priority="775">
      <iconSet iconSet="3Flags" reverse="1">
        <cfvo type="percent" val="0"/>
        <cfvo type="formula" val="107.055"/>
        <cfvo type="formula" val="118.95" gte="0"/>
      </iconSet>
    </cfRule>
  </conditionalFormatting>
  <conditionalFormatting sqref="O22">
    <cfRule type="iconSet" priority="769">
      <iconSet iconSet="3Flags" reverse="1">
        <cfvo type="percent" val="0"/>
        <cfvo type="formula" val="210.42"/>
        <cfvo type="formula" val="233.8" gte="0"/>
      </iconSet>
    </cfRule>
  </conditionalFormatting>
  <conditionalFormatting sqref="Q22">
    <cfRule type="iconSet" priority="768">
      <iconSet iconSet="3Flags" reverse="1">
        <cfvo type="percent" val="0"/>
        <cfvo type="formula" val="183.42"/>
        <cfvo type="formula" val="203.8" gte="0"/>
      </iconSet>
    </cfRule>
  </conditionalFormatting>
  <conditionalFormatting sqref="S22">
    <cfRule type="iconSet" priority="767">
      <iconSet iconSet="3Flags" reverse="1">
        <cfvo type="percent" val="0"/>
        <cfvo type="formula" val="183.42"/>
        <cfvo type="formula" val="203.8" gte="0"/>
      </iconSet>
    </cfRule>
  </conditionalFormatting>
  <conditionalFormatting sqref="U22">
    <cfRule type="iconSet" priority="766">
      <iconSet iconSet="3Flags" reverse="1">
        <cfvo type="percent" val="0"/>
        <cfvo type="formula" val="183.42"/>
        <cfvo type="formula" val="203.8" gte="0"/>
      </iconSet>
    </cfRule>
  </conditionalFormatting>
  <conditionalFormatting sqref="W22">
    <cfRule type="iconSet" priority="765">
      <iconSet iconSet="3Flags" reverse="1">
        <cfvo type="percent" val="0"/>
        <cfvo type="formula" val="183.42"/>
        <cfvo type="formula" val="203.8" gte="0"/>
      </iconSet>
    </cfRule>
  </conditionalFormatting>
  <conditionalFormatting sqref="Y22">
    <cfRule type="iconSet" priority="764">
      <iconSet iconSet="3Flags" reverse="1">
        <cfvo type="percent" val="0"/>
        <cfvo type="formula" val="183.42"/>
        <cfvo type="formula" val="203.8" gte="0"/>
      </iconSet>
    </cfRule>
  </conditionalFormatting>
  <conditionalFormatting sqref="AA22">
    <cfRule type="iconSet" priority="763">
      <iconSet iconSet="3Flags" reverse="1">
        <cfvo type="percent" val="0"/>
        <cfvo type="formula" val="183.42"/>
        <cfvo type="formula" val="203.8" gte="0"/>
      </iconSet>
    </cfRule>
  </conditionalFormatting>
  <conditionalFormatting sqref="O23">
    <cfRule type="iconSet" priority="757">
      <iconSet iconSet="3Flags" reverse="1">
        <cfvo type="percent" val="0"/>
        <cfvo type="formula" val="128.178"/>
        <cfvo type="formula" val="142.42" gte="0"/>
      </iconSet>
    </cfRule>
  </conditionalFormatting>
  <conditionalFormatting sqref="Q23">
    <cfRule type="iconSet" priority="756">
      <iconSet iconSet="3Flags" reverse="1">
        <cfvo type="percent" val="0"/>
        <cfvo type="formula" val="128.178"/>
        <cfvo type="formula" val="142.42" gte="0"/>
      </iconSet>
    </cfRule>
  </conditionalFormatting>
  <conditionalFormatting sqref="S23">
    <cfRule type="iconSet" priority="755">
      <iconSet iconSet="3Flags" reverse="1">
        <cfvo type="percent" val="0"/>
        <cfvo type="formula" val="128.178"/>
        <cfvo type="formula" val="142.42" gte="0"/>
      </iconSet>
    </cfRule>
  </conditionalFormatting>
  <conditionalFormatting sqref="U23">
    <cfRule type="iconSet" priority="754">
      <iconSet iconSet="3Flags" reverse="1">
        <cfvo type="percent" val="0"/>
        <cfvo type="formula" val="128.178"/>
        <cfvo type="formula" val="142.42" gte="0"/>
      </iconSet>
    </cfRule>
  </conditionalFormatting>
  <conditionalFormatting sqref="W23">
    <cfRule type="iconSet" priority="753">
      <iconSet iconSet="3Flags" reverse="1">
        <cfvo type="percent" val="0"/>
        <cfvo type="formula" val="128.178"/>
        <cfvo type="formula" val="142.42" gte="0"/>
      </iconSet>
    </cfRule>
  </conditionalFormatting>
  <conditionalFormatting sqref="Y23">
    <cfRule type="iconSet" priority="752">
      <iconSet iconSet="3Flags" reverse="1">
        <cfvo type="percent" val="0"/>
        <cfvo type="formula" val="128.178"/>
        <cfvo type="formula" val="142.42" gte="0"/>
      </iconSet>
    </cfRule>
  </conditionalFormatting>
  <conditionalFormatting sqref="AA23">
    <cfRule type="iconSet" priority="751">
      <iconSet iconSet="3Flags" reverse="1">
        <cfvo type="percent" val="0"/>
        <cfvo type="formula" val="128.178"/>
        <cfvo type="formula" val="142.42" gte="0"/>
      </iconSet>
    </cfRule>
  </conditionalFormatting>
  <conditionalFormatting sqref="K26">
    <cfRule type="iconSet" priority="750">
      <iconSet iconSet="3Flags" reverse="1">
        <cfvo type="percent" val="0"/>
        <cfvo type="formula" val="0"/>
        <cfvo type="formula" val="0" gte="0"/>
      </iconSet>
    </cfRule>
  </conditionalFormatting>
  <conditionalFormatting sqref="M26">
    <cfRule type="iconSet" priority="749">
      <iconSet iconSet="3Flags" reverse="1">
        <cfvo type="percent" val="0"/>
        <cfvo type="formula" val="107.361"/>
        <cfvo type="formula" val="119.29" gte="0"/>
      </iconSet>
    </cfRule>
  </conditionalFormatting>
  <conditionalFormatting sqref="O26">
    <cfRule type="iconSet" priority="748">
      <iconSet iconSet="3Flags" reverse="1">
        <cfvo type="percent" val="0"/>
        <cfvo type="formula" val="107.361"/>
        <cfvo type="formula" val="119.29" gte="0"/>
      </iconSet>
    </cfRule>
  </conditionalFormatting>
  <conditionalFormatting sqref="Q26">
    <cfRule type="iconSet" priority="747">
      <iconSet iconSet="3Flags" reverse="1">
        <cfvo type="percent" val="0"/>
        <cfvo type="formula" val="107.361"/>
        <cfvo type="formula" val="119.29" gte="0"/>
      </iconSet>
    </cfRule>
  </conditionalFormatting>
  <conditionalFormatting sqref="S26">
    <cfRule type="iconSet" priority="746">
      <iconSet iconSet="3Flags" reverse="1">
        <cfvo type="percent" val="0"/>
        <cfvo type="formula" val="107.361"/>
        <cfvo type="formula" val="119.29" gte="0"/>
      </iconSet>
    </cfRule>
  </conditionalFormatting>
  <conditionalFormatting sqref="U26">
    <cfRule type="iconSet" priority="745">
      <iconSet iconSet="3Flags" reverse="1">
        <cfvo type="percent" val="0"/>
        <cfvo type="formula" val="107.361"/>
        <cfvo type="formula" val="119.29" gte="0"/>
      </iconSet>
    </cfRule>
  </conditionalFormatting>
  <conditionalFormatting sqref="W26">
    <cfRule type="iconSet" priority="744">
      <iconSet iconSet="3Flags" reverse="1">
        <cfvo type="percent" val="0"/>
        <cfvo type="formula" val="107.361"/>
        <cfvo type="formula" val="119.29" gte="0"/>
      </iconSet>
    </cfRule>
  </conditionalFormatting>
  <conditionalFormatting sqref="Y26">
    <cfRule type="iconSet" priority="743">
      <iconSet iconSet="3Flags" reverse="1">
        <cfvo type="percent" val="0"/>
        <cfvo type="formula" val="107.361"/>
        <cfvo type="formula" val="119.29" gte="0"/>
      </iconSet>
    </cfRule>
  </conditionalFormatting>
  <conditionalFormatting sqref="E27 G27">
    <cfRule type="iconSet" priority="742">
      <iconSet iconSet="3Flags" reverse="1">
        <cfvo type="percent" val="0"/>
        <cfvo type="formula" val="0"/>
        <cfvo type="formula" val="0" gte="0"/>
      </iconSet>
    </cfRule>
  </conditionalFormatting>
  <conditionalFormatting sqref="I27">
    <cfRule type="iconSet" priority="740">
      <iconSet iconSet="3Flags" reverse="1">
        <cfvo type="percent" val="0"/>
        <cfvo type="formula" val="70.416"/>
        <cfvo type="formula" val="78.24" gte="0"/>
      </iconSet>
    </cfRule>
  </conditionalFormatting>
  <conditionalFormatting sqref="K27">
    <cfRule type="iconSet" priority="739">
      <iconSet iconSet="3Flags" reverse="1">
        <cfvo type="percent" val="0"/>
        <cfvo type="formula" val="70.416"/>
        <cfvo type="formula" val="78.24" gte="0"/>
      </iconSet>
    </cfRule>
  </conditionalFormatting>
  <conditionalFormatting sqref="M27">
    <cfRule type="iconSet" priority="738">
      <iconSet iconSet="3Flags" reverse="1">
        <cfvo type="percent" val="0"/>
        <cfvo type="formula" val="70.416"/>
        <cfvo type="formula" val="78.24" gte="0"/>
      </iconSet>
    </cfRule>
  </conditionalFormatting>
  <conditionalFormatting sqref="O27">
    <cfRule type="iconSet" priority="737">
      <iconSet iconSet="3Flags" reverse="1">
        <cfvo type="percent" val="0"/>
        <cfvo type="formula" val="70.416"/>
        <cfvo type="formula" val="78.24" gte="0"/>
      </iconSet>
    </cfRule>
  </conditionalFormatting>
  <conditionalFormatting sqref="Q27">
    <cfRule type="iconSet" priority="736">
      <iconSet iconSet="3Flags" reverse="1">
        <cfvo type="percent" val="0"/>
        <cfvo type="formula" val="70.416"/>
        <cfvo type="formula" val="78.24" gte="0"/>
      </iconSet>
    </cfRule>
  </conditionalFormatting>
  <conditionalFormatting sqref="S27">
    <cfRule type="iconSet" priority="735">
      <iconSet iconSet="3Flags" reverse="1">
        <cfvo type="percent" val="0"/>
        <cfvo type="formula" val="70.416"/>
        <cfvo type="formula" val="78.24" gte="0"/>
      </iconSet>
    </cfRule>
  </conditionalFormatting>
  <conditionalFormatting sqref="U27">
    <cfRule type="iconSet" priority="734">
      <iconSet iconSet="3Flags" reverse="1">
        <cfvo type="percent" val="0"/>
        <cfvo type="formula" val="70.416"/>
        <cfvo type="formula" val="78.24" gte="0"/>
      </iconSet>
    </cfRule>
  </conditionalFormatting>
  <conditionalFormatting sqref="W27">
    <cfRule type="iconSet" priority="733">
      <iconSet iconSet="3Flags" reverse="1">
        <cfvo type="percent" val="0"/>
        <cfvo type="formula" val="70.416"/>
        <cfvo type="formula" val="78.24" gte="0"/>
      </iconSet>
    </cfRule>
  </conditionalFormatting>
  <conditionalFormatting sqref="Y27">
    <cfRule type="iconSet" priority="732">
      <iconSet iconSet="3Flags" reverse="1">
        <cfvo type="percent" val="0"/>
        <cfvo type="formula" val="70.416"/>
        <cfvo type="formula" val="78.24" gte="0"/>
      </iconSet>
    </cfRule>
  </conditionalFormatting>
  <conditionalFormatting sqref="AA27">
    <cfRule type="iconSet" priority="731">
      <iconSet iconSet="3Flags" reverse="1">
        <cfvo type="percent" val="0"/>
        <cfvo type="formula" val="70.416"/>
        <cfvo type="formula" val="78.24" gte="0"/>
      </iconSet>
    </cfRule>
  </conditionalFormatting>
  <conditionalFormatting sqref="E29 G29">
    <cfRule type="iconSet" priority="729">
      <iconSet iconSet="3Flags" reverse="1">
        <cfvo type="percent" val="0"/>
        <cfvo type="formula" val="92.7"/>
        <cfvo type="formula" val="103" gte="0"/>
      </iconSet>
    </cfRule>
  </conditionalFormatting>
  <conditionalFormatting sqref="I30">
    <cfRule type="iconSet" priority="727">
      <iconSet iconSet="3Flags" reverse="1">
        <cfvo type="percent" val="0"/>
        <cfvo type="formula" val="216"/>
        <cfvo type="formula" val="240" gte="0"/>
      </iconSet>
    </cfRule>
  </conditionalFormatting>
  <conditionalFormatting sqref="O31">
    <cfRule type="iconSet" priority="723">
      <iconSet iconSet="3Flags" reverse="1">
        <cfvo type="percent" val="0"/>
        <cfvo type="formula" val="1053"/>
        <cfvo type="formula" val="1170" gte="0"/>
      </iconSet>
    </cfRule>
  </conditionalFormatting>
  <conditionalFormatting sqref="Q31">
    <cfRule type="iconSet" priority="722">
      <iconSet iconSet="3Flags" reverse="1">
        <cfvo type="percent" val="0"/>
        <cfvo type="formula" val="585"/>
        <cfvo type="formula" val="650" gte="0"/>
      </iconSet>
    </cfRule>
  </conditionalFormatting>
  <conditionalFormatting sqref="S31">
    <cfRule type="iconSet" priority="721">
      <iconSet iconSet="3Flags" reverse="1">
        <cfvo type="percent" val="0"/>
        <cfvo type="formula" val="0"/>
        <cfvo type="formula" val="0" gte="0"/>
      </iconSet>
    </cfRule>
  </conditionalFormatting>
  <conditionalFormatting sqref="Q32">
    <cfRule type="iconSet" priority="720">
      <iconSet iconSet="3Flags" reverse="1">
        <cfvo type="percent" val="0"/>
        <cfvo type="formula" val="0"/>
        <cfvo type="formula" val="0" gte="0"/>
      </iconSet>
    </cfRule>
  </conditionalFormatting>
  <conditionalFormatting sqref="S32">
    <cfRule type="iconSet" priority="719">
      <iconSet iconSet="3Flags" reverse="1">
        <cfvo type="percent" val="0"/>
        <cfvo type="formula" val="0"/>
        <cfvo type="formula" val="0" gte="0"/>
      </iconSet>
    </cfRule>
  </conditionalFormatting>
  <conditionalFormatting sqref="O36">
    <cfRule type="iconSet" priority="713">
      <iconSet iconSet="3Flags" reverse="1">
        <cfvo type="percent" val="0"/>
        <cfvo type="formula" val="660.15"/>
        <cfvo type="formula" val="733.5" gte="0"/>
      </iconSet>
    </cfRule>
  </conditionalFormatting>
  <conditionalFormatting sqref="Q36">
    <cfRule type="iconSet" priority="712">
      <iconSet iconSet="3Flags" reverse="1">
        <cfvo type="percent" val="0"/>
        <cfvo type="formula" val="660.15"/>
        <cfvo type="formula" val="733.5" gte="0"/>
      </iconSet>
    </cfRule>
  </conditionalFormatting>
  <conditionalFormatting sqref="S36">
    <cfRule type="iconSet" priority="711">
      <iconSet iconSet="3Flags" reverse="1">
        <cfvo type="percent" val="0"/>
        <cfvo type="formula" val="660.15"/>
        <cfvo type="formula" val="733.5" gte="0"/>
      </iconSet>
    </cfRule>
  </conditionalFormatting>
  <conditionalFormatting sqref="U36">
    <cfRule type="iconSet" priority="710">
      <iconSet iconSet="3Flags" reverse="1">
        <cfvo type="percent" val="0"/>
        <cfvo type="formula" val="660.15"/>
        <cfvo type="formula" val="733.5" gte="0"/>
      </iconSet>
    </cfRule>
  </conditionalFormatting>
  <conditionalFormatting sqref="W36">
    <cfRule type="iconSet" priority="709">
      <iconSet iconSet="3Flags" reverse="1">
        <cfvo type="percent" val="0"/>
        <cfvo type="formula" val="660.15"/>
        <cfvo type="formula" val="733.5" gte="0"/>
      </iconSet>
    </cfRule>
  </conditionalFormatting>
  <conditionalFormatting sqref="Y36">
    <cfRule type="iconSet" priority="708">
      <iconSet iconSet="3Flags" reverse="1">
        <cfvo type="percent" val="0"/>
        <cfvo type="formula" val="660.15"/>
        <cfvo type="formula" val="733.5" gte="0"/>
      </iconSet>
    </cfRule>
  </conditionalFormatting>
  <conditionalFormatting sqref="AA36">
    <cfRule type="iconSet" priority="707">
      <iconSet iconSet="3Flags" reverse="1">
        <cfvo type="percent" val="0"/>
        <cfvo type="formula" val="660.15"/>
        <cfvo type="formula" val="733.5" gte="0"/>
      </iconSet>
    </cfRule>
  </conditionalFormatting>
  <conditionalFormatting sqref="I38">
    <cfRule type="iconSet" priority="704">
      <iconSet iconSet="3Flags" reverse="1">
        <cfvo type="percent" val="0"/>
        <cfvo type="formula" val="0"/>
        <cfvo type="formula" val="0" gte="0"/>
      </iconSet>
    </cfRule>
  </conditionalFormatting>
  <conditionalFormatting sqref="K38">
    <cfRule type="iconSet" priority="703">
      <iconSet iconSet="3Flags" reverse="1">
        <cfvo type="percent" val="0"/>
        <cfvo type="formula" val="0"/>
        <cfvo type="formula" val="0" gte="0"/>
      </iconSet>
    </cfRule>
  </conditionalFormatting>
  <conditionalFormatting sqref="M38">
    <cfRule type="iconSet" priority="702">
      <iconSet iconSet="3Flags" reverse="1">
        <cfvo type="percent" val="0"/>
        <cfvo type="formula" val="0"/>
        <cfvo type="formula" val="0" gte="0"/>
      </iconSet>
    </cfRule>
  </conditionalFormatting>
  <conditionalFormatting sqref="O38">
    <cfRule type="iconSet" priority="701">
      <iconSet iconSet="3Flags" reverse="1">
        <cfvo type="percent" val="0"/>
        <cfvo type="formula" val="0"/>
        <cfvo type="formula" val="0" gte="0"/>
      </iconSet>
    </cfRule>
  </conditionalFormatting>
  <conditionalFormatting sqref="Q38">
    <cfRule type="iconSet" priority="700">
      <iconSet iconSet="3Flags" reverse="1">
        <cfvo type="percent" val="0"/>
        <cfvo type="formula" val="0"/>
        <cfvo type="formula" val="0" gte="0"/>
      </iconSet>
    </cfRule>
  </conditionalFormatting>
  <conditionalFormatting sqref="S38">
    <cfRule type="iconSet" priority="699">
      <iconSet iconSet="3Flags" reverse="1">
        <cfvo type="percent" val="0"/>
        <cfvo type="formula" val="0"/>
        <cfvo type="formula" val="0" gte="0"/>
      </iconSet>
    </cfRule>
  </conditionalFormatting>
  <conditionalFormatting sqref="E39">
    <cfRule type="iconSet" priority="698">
      <iconSet iconSet="3Flags" reverse="1">
        <cfvo type="percent" val="0"/>
        <cfvo type="formula" val="6.6375"/>
        <cfvo type="formula" val="7.375" gte="0"/>
      </iconSet>
    </cfRule>
  </conditionalFormatting>
  <conditionalFormatting sqref="G39">
    <cfRule type="iconSet" priority="697">
      <iconSet iconSet="3Flags" reverse="1">
        <cfvo type="percent" val="0"/>
        <cfvo type="formula" val="6.6375"/>
        <cfvo type="formula" val="7.375" gte="0"/>
      </iconSet>
    </cfRule>
  </conditionalFormatting>
  <conditionalFormatting sqref="I39">
    <cfRule type="iconSet" priority="696">
      <iconSet iconSet="3Flags" reverse="1">
        <cfvo type="percent" val="0"/>
        <cfvo type="formula" val="0"/>
        <cfvo type="formula" val="0" gte="0"/>
      </iconSet>
    </cfRule>
  </conditionalFormatting>
  <conditionalFormatting sqref="O39">
    <cfRule type="iconSet" priority="695">
      <iconSet iconSet="3Flags" reverse="1">
        <cfvo type="percent" val="0"/>
        <cfvo type="formula" val="0"/>
        <cfvo type="formula" val="0" gte="0"/>
      </iconSet>
    </cfRule>
  </conditionalFormatting>
  <conditionalFormatting sqref="S39">
    <cfRule type="iconSet" priority="694">
      <iconSet iconSet="3Flags" reverse="1">
        <cfvo type="percent" val="0"/>
        <cfvo type="formula" val="0"/>
        <cfvo type="formula" val="0" gte="0"/>
      </iconSet>
    </cfRule>
  </conditionalFormatting>
  <conditionalFormatting sqref="E40">
    <cfRule type="iconSet" priority="693">
      <iconSet iconSet="3Flags" reverse="1">
        <cfvo type="percent" val="0"/>
        <cfvo type="formula" val="54.7875"/>
        <cfvo type="formula" val="60.875" gte="0"/>
      </iconSet>
    </cfRule>
  </conditionalFormatting>
  <conditionalFormatting sqref="O40">
    <cfRule type="iconSet" priority="690">
      <iconSet iconSet="3Flags" reverse="1">
        <cfvo type="percent" val="0"/>
        <cfvo type="formula" val="0"/>
        <cfvo type="formula" val="0" gte="0"/>
      </iconSet>
    </cfRule>
  </conditionalFormatting>
  <conditionalFormatting sqref="Q40">
    <cfRule type="iconSet" priority="689">
      <iconSet iconSet="3Flags" reverse="1">
        <cfvo type="percent" val="0"/>
        <cfvo type="formula" val="0"/>
        <cfvo type="formula" val="0" gte="0"/>
      </iconSet>
    </cfRule>
  </conditionalFormatting>
  <conditionalFormatting sqref="E41">
    <cfRule type="iconSet" priority="688">
      <iconSet iconSet="3Flags" reverse="1">
        <cfvo type="percent" val="0"/>
        <cfvo type="formula" val="12.75"/>
        <cfvo type="formula" val="14.1666666666667" gte="0"/>
      </iconSet>
    </cfRule>
  </conditionalFormatting>
  <conditionalFormatting sqref="I41">
    <cfRule type="iconSet" priority="686">
      <iconSet iconSet="3Flags" reverse="1">
        <cfvo type="percent" val="0"/>
        <cfvo type="formula" val="0"/>
        <cfvo type="formula" val="0" gte="0"/>
      </iconSet>
    </cfRule>
  </conditionalFormatting>
  <conditionalFormatting sqref="O41">
    <cfRule type="iconSet" priority="685">
      <iconSet iconSet="3Flags" reverse="1">
        <cfvo type="percent" val="0"/>
        <cfvo type="formula" val="0"/>
        <cfvo type="formula" val="0" gte="0"/>
      </iconSet>
    </cfRule>
  </conditionalFormatting>
  <conditionalFormatting sqref="G42">
    <cfRule type="iconSet" priority="683">
      <iconSet iconSet="3Flags" reverse="1">
        <cfvo type="percent" val="0"/>
        <cfvo type="formula" val="145.2"/>
        <cfvo type="formula" val="161.333333333333" gte="0"/>
      </iconSet>
    </cfRule>
  </conditionalFormatting>
  <conditionalFormatting sqref="O42">
    <cfRule type="iconSet" priority="679">
      <iconSet iconSet="3Flags" reverse="1">
        <cfvo type="percent" val="0"/>
        <cfvo type="formula" val="90"/>
        <cfvo type="formula" val="100" gte="0"/>
      </iconSet>
    </cfRule>
  </conditionalFormatting>
  <conditionalFormatting sqref="Q42">
    <cfRule type="iconSet" priority="678">
      <iconSet iconSet="3Flags" reverse="1">
        <cfvo type="percent" val="0"/>
        <cfvo type="formula" val="90"/>
        <cfvo type="formula" val="100" gte="0"/>
      </iconSet>
    </cfRule>
  </conditionalFormatting>
  <conditionalFormatting sqref="S42">
    <cfRule type="iconSet" priority="677">
      <iconSet iconSet="3Flags" reverse="1">
        <cfvo type="percent" val="0"/>
        <cfvo type="formula" val="90"/>
        <cfvo type="formula" val="100" gte="0"/>
      </iconSet>
    </cfRule>
  </conditionalFormatting>
  <conditionalFormatting sqref="U42">
    <cfRule type="iconSet" priority="676">
      <iconSet iconSet="3Flags" reverse="1">
        <cfvo type="percent" val="0"/>
        <cfvo type="formula" val="90"/>
        <cfvo type="formula" val="100" gte="0"/>
      </iconSet>
    </cfRule>
  </conditionalFormatting>
  <conditionalFormatting sqref="W42">
    <cfRule type="iconSet" priority="675">
      <iconSet iconSet="3Flags" reverse="1">
        <cfvo type="percent" val="0"/>
        <cfvo type="formula" val="90"/>
        <cfvo type="formula" val="100" gte="0"/>
      </iconSet>
    </cfRule>
  </conditionalFormatting>
  <conditionalFormatting sqref="Y42:Z42">
    <cfRule type="iconSet" priority="674">
      <iconSet iconSet="3Flags" reverse="1">
        <cfvo type="percent" val="0"/>
        <cfvo type="formula" val="90"/>
        <cfvo type="formula" val="100" gte="0"/>
      </iconSet>
    </cfRule>
  </conditionalFormatting>
  <conditionalFormatting sqref="AA42">
    <cfRule type="iconSet" priority="673">
      <iconSet iconSet="3Flags" reverse="1">
        <cfvo type="percent" val="0"/>
        <cfvo type="formula" val="90"/>
        <cfvo type="formula" val="100" gte="0"/>
      </iconSet>
    </cfRule>
  </conditionalFormatting>
  <conditionalFormatting sqref="E43">
    <cfRule type="iconSet" priority="672">
      <iconSet iconSet="3Flags" reverse="1">
        <cfvo type="percent" val="0"/>
        <cfvo type="formula" val="169.57125"/>
        <cfvo type="formula" val="188.4125" gte="0"/>
      </iconSet>
    </cfRule>
  </conditionalFormatting>
  <conditionalFormatting sqref="G43">
    <cfRule type="iconSet" priority="671">
      <iconSet iconSet="3Flags" reverse="1">
        <cfvo type="percent" val="0"/>
        <cfvo type="formula" val="169.57125"/>
        <cfvo type="formula" val="188.4125" gte="0"/>
      </iconSet>
    </cfRule>
  </conditionalFormatting>
  <conditionalFormatting sqref="K44">
    <cfRule type="iconSet" priority="670">
      <iconSet iconSet="3Flags" reverse="1">
        <cfvo type="percent" val="0"/>
        <cfvo type="formula" val="0"/>
        <cfvo type="formula" val="0" gte="0"/>
      </iconSet>
    </cfRule>
  </conditionalFormatting>
  <conditionalFormatting sqref="O44">
    <cfRule type="iconSet" priority="669">
      <iconSet iconSet="3Flags" reverse="1">
        <cfvo type="percent" val="0"/>
        <cfvo type="formula" val="0"/>
        <cfvo type="formula" val="0" gte="0"/>
      </iconSet>
    </cfRule>
  </conditionalFormatting>
  <conditionalFormatting sqref="S44">
    <cfRule type="iconSet" priority="668">
      <iconSet iconSet="3Flags" reverse="1">
        <cfvo type="percent" val="0"/>
        <cfvo type="formula" val="0"/>
        <cfvo type="formula" val="0" gte="0"/>
      </iconSet>
    </cfRule>
  </conditionalFormatting>
  <conditionalFormatting sqref="E45">
    <cfRule type="iconSet" priority="667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G45">
    <cfRule type="iconSet" priority="666">
      <iconSet iconSet="3Flags" reverse="1">
        <cfvo type="percent" val="0"/>
        <cfvo type="formula" val="21.975"/>
        <cfvo type="formula" val="24.4166666666667" gte="0"/>
      </iconSet>
    </cfRule>
  </conditionalFormatting>
  <conditionalFormatting sqref="S46">
    <cfRule type="iconSet" priority="663">
      <iconSet iconSet="3Flags" reverse="1">
        <cfvo type="percent" val="0"/>
        <cfvo type="formula" val="0"/>
        <cfvo type="formula" val="0" gte="0"/>
      </iconSet>
    </cfRule>
  </conditionalFormatting>
  <conditionalFormatting sqref="E48">
    <cfRule type="iconSet" priority="662">
      <iconSet iconSet="3Flags" reverse="1">
        <cfvo type="percent" val="0"/>
        <cfvo type="formula" val="4.38"/>
        <cfvo type="formula" val="4.86666666666667" gte="0"/>
      </iconSet>
    </cfRule>
  </conditionalFormatting>
  <conditionalFormatting sqref="G48">
    <cfRule type="iconSet" priority="661">
      <iconSet iconSet="3Flags" reverse="1">
        <cfvo type="percent" val="0"/>
        <cfvo type="formula" val="4.38"/>
        <cfvo type="formula" val="4.86666666666667" gte="0"/>
      </iconSet>
    </cfRule>
  </conditionalFormatting>
  <conditionalFormatting sqref="E49">
    <cfRule type="iconSet" priority="660">
      <iconSet iconSet="3Flags" reverse="1">
        <cfvo type="percent" val="0"/>
        <cfvo type="formula" val="0.675"/>
        <cfvo type="formula" val="0.75" gte="0"/>
      </iconSet>
    </cfRule>
  </conditionalFormatting>
  <conditionalFormatting sqref="G49">
    <cfRule type="iconSet" priority="659">
      <iconSet iconSet="3Flags" reverse="1">
        <cfvo type="percent" val="0"/>
        <cfvo type="formula" val="0.675"/>
        <cfvo type="formula" val="0.75" gte="0"/>
      </iconSet>
    </cfRule>
  </conditionalFormatting>
  <conditionalFormatting sqref="Q51">
    <cfRule type="iconSet" priority="656">
      <iconSet iconSet="3Flags" reverse="1">
        <cfvo type="percent" val="0"/>
        <cfvo type="formula" val="0"/>
        <cfvo type="formula" val="0" gte="0"/>
      </iconSet>
    </cfRule>
  </conditionalFormatting>
  <conditionalFormatting sqref="S51">
    <cfRule type="iconSet" priority="655">
      <iconSet iconSet="3Flags" reverse="1">
        <cfvo type="percent" val="0"/>
        <cfvo type="formula" val="0"/>
        <cfvo type="formula" val="0" gte="0"/>
      </iconSet>
    </cfRule>
  </conditionalFormatting>
  <conditionalFormatting sqref="O52">
    <cfRule type="iconSet" priority="649">
      <iconSet iconSet="3Flags" reverse="1">
        <cfvo type="percent" val="0"/>
        <cfvo type="formula" val="567"/>
        <cfvo type="formula" val="630" gte="0"/>
      </iconSet>
    </cfRule>
  </conditionalFormatting>
  <conditionalFormatting sqref="Q52">
    <cfRule type="iconSet" priority="648">
      <iconSet iconSet="3Flags" reverse="1">
        <cfvo type="percent" val="0"/>
        <cfvo type="formula" val="567"/>
        <cfvo type="formula" val="630" gte="0"/>
      </iconSet>
    </cfRule>
  </conditionalFormatting>
  <conditionalFormatting sqref="S52">
    <cfRule type="iconSet" priority="647">
      <iconSet iconSet="3Flags" reverse="1">
        <cfvo type="percent" val="0"/>
        <cfvo type="formula" val="567"/>
        <cfvo type="formula" val="630" gte="0"/>
      </iconSet>
    </cfRule>
  </conditionalFormatting>
  <conditionalFormatting sqref="U52">
    <cfRule type="iconSet" priority="646">
      <iconSet iconSet="3Flags" reverse="1">
        <cfvo type="percent" val="0"/>
        <cfvo type="formula" val="567"/>
        <cfvo type="formula" val="630" gte="0"/>
      </iconSet>
    </cfRule>
  </conditionalFormatting>
  <conditionalFormatting sqref="W52">
    <cfRule type="iconSet" priority="645">
      <iconSet iconSet="3Flags" reverse="1">
        <cfvo type="percent" val="0"/>
        <cfvo type="formula" val="567"/>
        <cfvo type="formula" val="630" gte="0"/>
      </iconSet>
    </cfRule>
  </conditionalFormatting>
  <conditionalFormatting sqref="Y52:Z52">
    <cfRule type="iconSet" priority="644">
      <iconSet iconSet="3Flags" reverse="1">
        <cfvo type="percent" val="0"/>
        <cfvo type="formula" val="567"/>
        <cfvo type="formula" val="630" gte="0"/>
      </iconSet>
    </cfRule>
  </conditionalFormatting>
  <conditionalFormatting sqref="AA52">
    <cfRule type="iconSet" priority="643">
      <iconSet iconSet="3Flags" reverse="1">
        <cfvo type="percent" val="0"/>
        <cfvo type="formula" val="567"/>
        <cfvo type="formula" val="630" gte="0"/>
      </iconSet>
    </cfRule>
  </conditionalFormatting>
  <conditionalFormatting sqref="G55">
    <cfRule type="iconSet" priority="642">
      <iconSet iconSet="3Flags" reverse="1">
        <cfvo type="percent" val="0"/>
        <cfvo type="formula" val="0"/>
        <cfvo type="formula" val="0" gte="0"/>
      </iconSet>
    </cfRule>
  </conditionalFormatting>
  <conditionalFormatting sqref="I55">
    <cfRule type="iconSet" priority="641">
      <iconSet iconSet="3Flags" reverse="1">
        <cfvo type="percent" val="0"/>
        <cfvo type="formula" val="3.15"/>
        <cfvo type="formula" val="3.5" gte="0"/>
      </iconSet>
    </cfRule>
  </conditionalFormatting>
  <conditionalFormatting sqref="K55">
    <cfRule type="iconSet" priority="640">
      <iconSet iconSet="3Flags" reverse="1">
        <cfvo type="percent" val="0"/>
        <cfvo type="formula" val="3.15"/>
        <cfvo type="formula" val="3.5" gte="0"/>
      </iconSet>
    </cfRule>
  </conditionalFormatting>
  <conditionalFormatting sqref="M55">
    <cfRule type="iconSet" priority="639">
      <iconSet iconSet="3Flags" reverse="1">
        <cfvo type="percent" val="0"/>
        <cfvo type="formula" val="3.15"/>
        <cfvo type="formula" val="3.5" gte="0"/>
      </iconSet>
    </cfRule>
  </conditionalFormatting>
  <conditionalFormatting sqref="O55">
    <cfRule type="iconSet" priority="638">
      <iconSet iconSet="3Flags" reverse="1">
        <cfvo type="percent" val="0"/>
        <cfvo type="formula" val="3.15"/>
        <cfvo type="formula" val="3.5" gte="0"/>
      </iconSet>
    </cfRule>
  </conditionalFormatting>
  <conditionalFormatting sqref="Q55">
    <cfRule type="iconSet" priority="637">
      <iconSet iconSet="3Flags" reverse="1">
        <cfvo type="percent" val="0"/>
        <cfvo type="formula" val="3.15"/>
        <cfvo type="formula" val="3.5" gte="0"/>
      </iconSet>
    </cfRule>
  </conditionalFormatting>
  <conditionalFormatting sqref="S55">
    <cfRule type="iconSet" priority="636">
      <iconSet iconSet="3Flags" reverse="1">
        <cfvo type="percent" val="0"/>
        <cfvo type="formula" val="3.15"/>
        <cfvo type="formula" val="3.5" gte="0"/>
      </iconSet>
    </cfRule>
  </conditionalFormatting>
  <conditionalFormatting sqref="U55">
    <cfRule type="iconSet" priority="635">
      <iconSet iconSet="3Flags" reverse="1">
        <cfvo type="percent" val="0"/>
        <cfvo type="formula" val="3.15"/>
        <cfvo type="formula" val="3.5" gte="0"/>
      </iconSet>
    </cfRule>
  </conditionalFormatting>
  <conditionalFormatting sqref="W55">
    <cfRule type="iconSet" priority="634">
      <iconSet iconSet="3Flags" reverse="1">
        <cfvo type="percent" val="0"/>
        <cfvo type="formula" val="3.15"/>
        <cfvo type="formula" val="3.5" gte="0"/>
      </iconSet>
    </cfRule>
  </conditionalFormatting>
  <conditionalFormatting sqref="Y55:Z55">
    <cfRule type="iconSet" priority="633">
      <iconSet iconSet="3Flags" reverse="1">
        <cfvo type="percent" val="0"/>
        <cfvo type="formula" val="3.15"/>
        <cfvo type="formula" val="3.5" gte="0"/>
      </iconSet>
    </cfRule>
  </conditionalFormatting>
  <conditionalFormatting sqref="AA55">
    <cfRule type="iconSet" priority="632">
      <iconSet iconSet="3Flags" reverse="1">
        <cfvo type="percent" val="0"/>
        <cfvo type="formula" val="3.15"/>
        <cfvo type="formula" val="3.5" gte="0"/>
      </iconSet>
    </cfRule>
  </conditionalFormatting>
  <conditionalFormatting sqref="E56">
    <cfRule type="iconSet" priority="631">
      <iconSet iconSet="3Flags" reverse="1">
        <cfvo type="percent" val="0"/>
        <cfvo type="formula" val="12825"/>
        <cfvo type="formula" val="14250" gte="0"/>
      </iconSet>
    </cfRule>
  </conditionalFormatting>
  <conditionalFormatting sqref="K57">
    <cfRule type="iconSet" priority="630">
      <iconSet iconSet="3Flags" reverse="1">
        <cfvo type="percent" val="0"/>
        <cfvo type="formula" val="0"/>
        <cfvo type="formula" val="0" gte="0"/>
      </iconSet>
    </cfRule>
  </conditionalFormatting>
  <conditionalFormatting sqref="G60">
    <cfRule type="iconSet" priority="629">
      <iconSet iconSet="3Flags" reverse="1">
        <cfvo type="percent" val="0"/>
        <cfvo type="formula" val="0"/>
        <cfvo type="formula" val="0" gte="0"/>
      </iconSet>
    </cfRule>
  </conditionalFormatting>
  <conditionalFormatting sqref="E61">
    <cfRule type="iconSet" priority="628">
      <iconSet iconSet="3Flags" reverse="1">
        <cfvo type="percent" val="0"/>
        <cfvo type="formula" val="0"/>
        <cfvo type="formula" val="0" gte="0"/>
      </iconSet>
    </cfRule>
  </conditionalFormatting>
  <conditionalFormatting sqref="E62">
    <cfRule type="iconSet" priority="627">
      <iconSet iconSet="3Flags" reverse="1">
        <cfvo type="percent" val="0"/>
        <cfvo type="formula" val="0"/>
        <cfvo type="formula" val="0" gte="0"/>
      </iconSet>
    </cfRule>
  </conditionalFormatting>
  <conditionalFormatting sqref="G62">
    <cfRule type="iconSet" priority="626">
      <iconSet iconSet="3Flags" reverse="1">
        <cfvo type="percent" val="0"/>
        <cfvo type="formula" val="0"/>
        <cfvo type="formula" val="0" gte="0"/>
      </iconSet>
    </cfRule>
  </conditionalFormatting>
  <conditionalFormatting sqref="Q63">
    <cfRule type="iconSet" priority="625">
      <iconSet iconSet="3Flags" reverse="1">
        <cfvo type="percent" val="0"/>
        <cfvo type="formula" val="0"/>
        <cfvo type="formula" val="0" gte="0"/>
      </iconSet>
    </cfRule>
  </conditionalFormatting>
  <conditionalFormatting sqref="AA69">
    <cfRule type="iconSet" priority="613">
      <iconSet iconSet="3Flags" reverse="1">
        <cfvo type="percent" val="0"/>
        <cfvo type="formula" val="3462.175722675"/>
        <cfvo type="formula" val="3846.86191408333" gte="0"/>
      </iconSet>
    </cfRule>
  </conditionalFormatting>
  <conditionalFormatting sqref="E70">
    <cfRule type="iconSet" priority="612">
      <iconSet iconSet="3Flags" reverse="1">
        <cfvo type="percent" val="0"/>
        <cfvo type="formula" val="0"/>
        <cfvo type="formula" val="0" gte="0"/>
      </iconSet>
    </cfRule>
  </conditionalFormatting>
  <conditionalFormatting sqref="G70">
    <cfRule type="iconSet" priority="611">
      <iconSet iconSet="3Flags" reverse="1">
        <cfvo type="percent" val="0"/>
        <cfvo type="formula" val="0"/>
        <cfvo type="formula" val="0" gte="0"/>
      </iconSet>
    </cfRule>
  </conditionalFormatting>
  <conditionalFormatting sqref="I70">
    <cfRule type="iconSet" priority="610">
      <iconSet iconSet="3Flags" reverse="1">
        <cfvo type="percent" val="0"/>
        <cfvo type="formula" val="319.068"/>
        <cfvo type="formula" val="354.52" gte="0"/>
      </iconSet>
    </cfRule>
  </conditionalFormatting>
  <conditionalFormatting sqref="K70">
    <cfRule type="iconSet" priority="609">
      <iconSet iconSet="3Flags" reverse="1">
        <cfvo type="percent" val="0"/>
        <cfvo type="formula" val="272.448"/>
        <cfvo type="formula" val="302.72" gte="0"/>
      </iconSet>
    </cfRule>
  </conditionalFormatting>
  <conditionalFormatting sqref="M70">
    <cfRule type="iconSet" priority="608">
      <iconSet iconSet="3Flags" reverse="1">
        <cfvo type="percent" val="0"/>
        <cfvo type="formula" val="272.448"/>
        <cfvo type="formula" val="302.72" gte="0"/>
      </iconSet>
    </cfRule>
  </conditionalFormatting>
  <conditionalFormatting sqref="O70">
    <cfRule type="iconSet" priority="607">
      <iconSet iconSet="3Flags" reverse="1">
        <cfvo type="percent" val="0"/>
        <cfvo type="formula" val="181.638"/>
        <cfvo type="formula" val="201.82" gte="0"/>
      </iconSet>
    </cfRule>
  </conditionalFormatting>
  <conditionalFormatting sqref="Q70">
    <cfRule type="iconSet" priority="606">
      <iconSet iconSet="3Flags" reverse="1">
        <cfvo type="percent" val="0"/>
        <cfvo type="formula" val="42.3"/>
        <cfvo type="formula" val="47" gte="0"/>
      </iconSet>
    </cfRule>
  </conditionalFormatting>
  <conditionalFormatting sqref="S70">
    <cfRule type="iconSet" priority="605">
      <iconSet iconSet="3Flags" reverse="1">
        <cfvo type="percent" val="0"/>
        <cfvo type="formula" val="0"/>
        <cfvo type="formula" val="0" gte="0"/>
      </iconSet>
    </cfRule>
  </conditionalFormatting>
  <conditionalFormatting sqref="U71">
    <cfRule type="iconSet" priority="596">
      <iconSet iconSet="3Flags" reverse="1">
        <cfvo type="percent" val="0"/>
        <cfvo type="formula" val="637.30275"/>
        <cfvo type="formula" val="708.114166666667" gte="0"/>
      </iconSet>
    </cfRule>
  </conditionalFormatting>
  <conditionalFormatting sqref="W71">
    <cfRule type="iconSet" priority="595">
      <iconSet iconSet="3Flags" reverse="1">
        <cfvo type="percent" val="0"/>
        <cfvo type="formula" val="637.30275"/>
        <cfvo type="formula" val="708.114166666667" gte="0"/>
      </iconSet>
    </cfRule>
  </conditionalFormatting>
  <conditionalFormatting sqref="Y71">
    <cfRule type="iconSet" priority="594">
      <iconSet iconSet="3Flags" reverse="1">
        <cfvo type="percent" val="0"/>
        <cfvo type="formula" val="637.30275"/>
        <cfvo type="formula" val="708.114166666667" gte="0"/>
      </iconSet>
    </cfRule>
  </conditionalFormatting>
  <conditionalFormatting sqref="AA71">
    <cfRule type="iconSet" priority="593">
      <iconSet iconSet="3Flags" reverse="1">
        <cfvo type="percent" val="0"/>
        <cfvo type="formula" val="637.30275"/>
        <cfvo type="formula" val="708.114166666667" gte="0"/>
      </iconSet>
    </cfRule>
  </conditionalFormatting>
  <conditionalFormatting sqref="M72">
    <cfRule type="iconSet" priority="588">
      <iconSet iconSet="3Flags" reverse="1">
        <cfvo type="percent" val="0"/>
        <cfvo type="formula" val="1080"/>
        <cfvo type="formula" val="1200" gte="0"/>
      </iconSet>
    </cfRule>
  </conditionalFormatting>
  <conditionalFormatting sqref="O72">
    <cfRule type="iconSet" priority="587">
      <iconSet iconSet="3Flags" reverse="1">
        <cfvo type="percent" val="0"/>
        <cfvo type="formula" val="1080"/>
        <cfvo type="formula" val="1200" gte="0"/>
      </iconSet>
    </cfRule>
  </conditionalFormatting>
  <conditionalFormatting sqref="Q72">
    <cfRule type="iconSet" priority="586">
      <iconSet iconSet="3Flags" reverse="1">
        <cfvo type="percent" val="0"/>
        <cfvo type="formula" val="765.91425"/>
        <cfvo type="formula" val="851.015833333333" gte="0"/>
      </iconSet>
    </cfRule>
  </conditionalFormatting>
  <conditionalFormatting sqref="S72">
    <cfRule type="iconSet" priority="585">
      <iconSet iconSet="3Flags" reverse="1">
        <cfvo type="percent" val="0"/>
        <cfvo type="formula" val="765.91425"/>
        <cfvo type="formula" val="851.015833333333" gte="0"/>
      </iconSet>
    </cfRule>
  </conditionalFormatting>
  <conditionalFormatting sqref="U72">
    <cfRule type="iconSet" priority="584">
      <iconSet iconSet="3Flags" reverse="1">
        <cfvo type="percent" val="0"/>
        <cfvo type="formula" val="765.91425"/>
        <cfvo type="formula" val="851.015833333333" gte="0"/>
      </iconSet>
    </cfRule>
  </conditionalFormatting>
  <conditionalFormatting sqref="W72">
    <cfRule type="iconSet" priority="583">
      <iconSet iconSet="3Flags" reverse="1">
        <cfvo type="percent" val="0"/>
        <cfvo type="formula" val="765.91425"/>
        <cfvo type="formula" val="851.015833333333" gte="0"/>
      </iconSet>
    </cfRule>
  </conditionalFormatting>
  <conditionalFormatting sqref="Y72">
    <cfRule type="iconSet" priority="582">
      <iconSet iconSet="3Flags" reverse="1">
        <cfvo type="percent" val="0"/>
        <cfvo type="formula" val="765.91425"/>
        <cfvo type="formula" val="851.015833333333" gte="0"/>
      </iconSet>
    </cfRule>
  </conditionalFormatting>
  <conditionalFormatting sqref="AA72">
    <cfRule type="iconSet" priority="581">
      <iconSet iconSet="3Flags" reverse="1">
        <cfvo type="percent" val="0"/>
        <cfvo type="formula" val="765.91425"/>
        <cfvo type="formula" val="851.015833333333" gte="0"/>
      </iconSet>
    </cfRule>
  </conditionalFormatting>
  <conditionalFormatting sqref="M73">
    <cfRule type="iconSet" priority="576">
      <iconSet iconSet="3Flags" reverse="1">
        <cfvo type="percent" val="0"/>
        <cfvo type="formula" val="207"/>
        <cfvo type="formula" val="230" gte="0"/>
      </iconSet>
    </cfRule>
  </conditionalFormatting>
  <conditionalFormatting sqref="O73">
    <cfRule type="iconSet" priority="575">
      <iconSet iconSet="3Flags" reverse="1">
        <cfvo type="percent" val="0"/>
        <cfvo type="formula" val="270"/>
        <cfvo type="formula" val="300" gte="0"/>
      </iconSet>
    </cfRule>
  </conditionalFormatting>
  <conditionalFormatting sqref="Q73">
    <cfRule type="iconSet" priority="574">
      <iconSet iconSet="3Flags" reverse="1">
        <cfvo type="percent" val="0"/>
        <cfvo type="formula" val="532.53675"/>
        <cfvo type="formula" val="591.7075" gte="0"/>
      </iconSet>
    </cfRule>
  </conditionalFormatting>
  <conditionalFormatting sqref="S73">
    <cfRule type="iconSet" priority="573">
      <iconSet iconSet="3Flags" reverse="1">
        <cfvo type="percent" val="0"/>
        <cfvo type="formula" val="532.53675"/>
        <cfvo type="formula" val="591.7075" gte="0"/>
      </iconSet>
    </cfRule>
  </conditionalFormatting>
  <conditionalFormatting sqref="U73">
    <cfRule type="iconSet" priority="572">
      <iconSet iconSet="3Flags" reverse="1">
        <cfvo type="percent" val="0"/>
        <cfvo type="formula" val="532.53675"/>
        <cfvo type="formula" val="591.7075" gte="0"/>
      </iconSet>
    </cfRule>
  </conditionalFormatting>
  <conditionalFormatting sqref="W73">
    <cfRule type="iconSet" priority="571">
      <iconSet iconSet="3Flags" reverse="1">
        <cfvo type="percent" val="0"/>
        <cfvo type="formula" val="532.53675"/>
        <cfvo type="formula" val="591.7075" gte="0"/>
      </iconSet>
    </cfRule>
  </conditionalFormatting>
  <conditionalFormatting sqref="Y73">
    <cfRule type="iconSet" priority="570">
      <iconSet iconSet="3Flags" reverse="1">
        <cfvo type="percent" val="0"/>
        <cfvo type="formula" val="532.53675"/>
        <cfvo type="formula" val="591.7075" gte="0"/>
      </iconSet>
    </cfRule>
  </conditionalFormatting>
  <conditionalFormatting sqref="AA73">
    <cfRule type="iconSet" priority="569">
      <iconSet iconSet="3Flags" reverse="1">
        <cfvo type="percent" val="0"/>
        <cfvo type="formula" val="532.53675"/>
        <cfvo type="formula" val="591.7075" gte="0"/>
      </iconSet>
    </cfRule>
  </conditionalFormatting>
  <conditionalFormatting sqref="I74">
    <cfRule type="iconSet" priority="566">
      <iconSet iconSet="3Flags" reverse="1">
        <cfvo type="percent" val="0"/>
        <cfvo type="formula" val="158.535"/>
        <cfvo type="formula" val="176.15" gte="0"/>
      </iconSet>
    </cfRule>
  </conditionalFormatting>
  <conditionalFormatting sqref="M74">
    <cfRule type="iconSet" priority="564">
      <iconSet iconSet="3Flags" reverse="1">
        <cfvo type="percent" val="0"/>
        <cfvo type="formula" val="158.535"/>
        <cfvo type="formula" val="176.15" gte="0"/>
      </iconSet>
    </cfRule>
  </conditionalFormatting>
  <conditionalFormatting sqref="O74">
    <cfRule type="iconSet" priority="563">
      <iconSet iconSet="3Flags" reverse="1">
        <cfvo type="percent" val="0"/>
        <cfvo type="formula" val="158.535"/>
        <cfvo type="formula" val="176.15" gte="0"/>
      </iconSet>
    </cfRule>
  </conditionalFormatting>
  <conditionalFormatting sqref="Q74">
    <cfRule type="iconSet" priority="562">
      <iconSet iconSet="3Flags" reverse="1">
        <cfvo type="percent" val="0"/>
        <cfvo type="formula" val="225.702"/>
        <cfvo type="formula" val="250.78" gte="0"/>
      </iconSet>
    </cfRule>
  </conditionalFormatting>
  <conditionalFormatting sqref="S74">
    <cfRule type="iconSet" priority="561">
      <iconSet iconSet="3Flags" reverse="1">
        <cfvo type="percent" val="0"/>
        <cfvo type="formula" val="225.702"/>
        <cfvo type="formula" val="250.78" gte="0"/>
      </iconSet>
    </cfRule>
  </conditionalFormatting>
  <conditionalFormatting sqref="U74">
    <cfRule type="iconSet" priority="560">
      <iconSet iconSet="3Flags" reverse="1">
        <cfvo type="percent" val="0"/>
        <cfvo type="formula" val="225.702"/>
        <cfvo type="formula" val="250.78" gte="0"/>
      </iconSet>
    </cfRule>
  </conditionalFormatting>
  <conditionalFormatting sqref="W74">
    <cfRule type="iconSet" priority="559">
      <iconSet iconSet="3Flags" reverse="1">
        <cfvo type="percent" val="0"/>
        <cfvo type="formula" val="225.702"/>
        <cfvo type="formula" val="250.78" gte="0"/>
      </iconSet>
    </cfRule>
  </conditionalFormatting>
  <conditionalFormatting sqref="Y74">
    <cfRule type="iconSet" priority="558">
      <iconSet iconSet="3Flags" reverse="1">
        <cfvo type="percent" val="0"/>
        <cfvo type="formula" val="225.702"/>
        <cfvo type="formula" val="250.78" gte="0"/>
      </iconSet>
    </cfRule>
  </conditionalFormatting>
  <conditionalFormatting sqref="AA74">
    <cfRule type="iconSet" priority="557">
      <iconSet iconSet="3Flags" reverse="1">
        <cfvo type="percent" val="0"/>
        <cfvo type="formula" val="225.702"/>
        <cfvo type="formula" val="250.78" gte="0"/>
      </iconSet>
    </cfRule>
  </conditionalFormatting>
  <conditionalFormatting sqref="M75">
    <cfRule type="iconSet" priority="552">
      <iconSet iconSet="3Flags" reverse="1">
        <cfvo type="percent" val="0"/>
        <cfvo type="formula" val="54"/>
        <cfvo type="formula" val="60" gte="0"/>
      </iconSet>
    </cfRule>
  </conditionalFormatting>
  <conditionalFormatting sqref="O75">
    <cfRule type="iconSet" priority="551">
      <iconSet iconSet="3Flags" reverse="1">
        <cfvo type="percent" val="0"/>
        <cfvo type="formula" val="54"/>
        <cfvo type="formula" val="60" gte="0"/>
      </iconSet>
    </cfRule>
  </conditionalFormatting>
  <conditionalFormatting sqref="Q75">
    <cfRule type="iconSet" priority="550">
      <iconSet iconSet="3Flags" reverse="1">
        <cfvo type="percent" val="0"/>
        <cfvo type="formula" val="62.47575"/>
        <cfvo type="formula" val="69.4175" gte="0"/>
      </iconSet>
    </cfRule>
  </conditionalFormatting>
  <conditionalFormatting sqref="S75">
    <cfRule type="iconSet" priority="549">
      <iconSet iconSet="3Flags" reverse="1">
        <cfvo type="percent" val="0"/>
        <cfvo type="formula" val="62.47575"/>
        <cfvo type="formula" val="69.4175" gte="0"/>
      </iconSet>
    </cfRule>
  </conditionalFormatting>
  <conditionalFormatting sqref="U75">
    <cfRule type="iconSet" priority="548">
      <iconSet iconSet="3Flags" reverse="1">
        <cfvo type="percent" val="0"/>
        <cfvo type="formula" val="62.47575"/>
        <cfvo type="formula" val="69.4175" gte="0"/>
      </iconSet>
    </cfRule>
  </conditionalFormatting>
  <conditionalFormatting sqref="W75">
    <cfRule type="iconSet" priority="547">
      <iconSet iconSet="3Flags" reverse="1">
        <cfvo type="percent" val="0"/>
        <cfvo type="formula" val="62.47575"/>
        <cfvo type="formula" val="69.4175" gte="0"/>
      </iconSet>
    </cfRule>
  </conditionalFormatting>
  <conditionalFormatting sqref="Y75">
    <cfRule type="iconSet" priority="546">
      <iconSet iconSet="3Flags" reverse="1">
        <cfvo type="percent" val="0"/>
        <cfvo type="formula" val="62.47575"/>
        <cfvo type="formula" val="69.4175" gte="0"/>
      </iconSet>
    </cfRule>
  </conditionalFormatting>
  <conditionalFormatting sqref="AA75">
    <cfRule type="iconSet" priority="545">
      <iconSet iconSet="3Flags" reverse="1">
        <cfvo type="percent" val="0"/>
        <cfvo type="formula" val="62.47575"/>
        <cfvo type="formula" val="69.4175" gte="0"/>
      </iconSet>
    </cfRule>
  </conditionalFormatting>
  <conditionalFormatting sqref="I76">
    <cfRule type="iconSet" priority="542">
      <iconSet iconSet="3Flags" reverse="1">
        <cfvo type="percent" val="0"/>
        <cfvo type="formula" val="31.455"/>
        <cfvo type="formula" val="34.95" gte="0"/>
      </iconSet>
    </cfRule>
  </conditionalFormatting>
  <conditionalFormatting sqref="M76">
    <cfRule type="iconSet" priority="540">
      <iconSet iconSet="3Flags" reverse="1">
        <cfvo type="percent" val="0"/>
        <cfvo type="formula" val="0"/>
        <cfvo type="formula" val="0" gte="0"/>
      </iconSet>
    </cfRule>
  </conditionalFormatting>
  <conditionalFormatting sqref="Q76">
    <cfRule type="iconSet" priority="539">
      <iconSet iconSet="3Flags" reverse="1">
        <cfvo type="percent" val="0"/>
        <cfvo type="formula" val="109.8015"/>
        <cfvo type="formula" val="122.001666666667" gte="0"/>
      </iconSet>
    </cfRule>
  </conditionalFormatting>
  <conditionalFormatting sqref="S76">
    <cfRule type="iconSet" priority="538">
      <iconSet iconSet="3Flags" reverse="1">
        <cfvo type="percent" val="0"/>
        <cfvo type="formula" val="109.8015"/>
        <cfvo type="formula" val="122.001666666667" gte="0"/>
      </iconSet>
    </cfRule>
  </conditionalFormatting>
  <conditionalFormatting sqref="U76">
    <cfRule type="iconSet" priority="537">
      <iconSet iconSet="3Flags" reverse="1">
        <cfvo type="percent" val="0"/>
        <cfvo type="formula" val="109.8015"/>
        <cfvo type="formula" val="122.001666666667" gte="0"/>
      </iconSet>
    </cfRule>
  </conditionalFormatting>
  <conditionalFormatting sqref="W76">
    <cfRule type="iconSet" priority="536">
      <iconSet iconSet="3Flags" reverse="1">
        <cfvo type="percent" val="0"/>
        <cfvo type="formula" val="109.8015"/>
        <cfvo type="formula" val="122.001666666667" gte="0"/>
      </iconSet>
    </cfRule>
  </conditionalFormatting>
  <conditionalFormatting sqref="Y76">
    <cfRule type="iconSet" priority="535">
      <iconSet iconSet="3Flags" reverse="1">
        <cfvo type="percent" val="0"/>
        <cfvo type="formula" val="109.8015"/>
        <cfvo type="formula" val="122.001666666667" gte="0"/>
      </iconSet>
    </cfRule>
  </conditionalFormatting>
  <conditionalFormatting sqref="AA76">
    <cfRule type="iconSet" priority="534">
      <iconSet iconSet="3Flags" reverse="1">
        <cfvo type="percent" val="0"/>
        <cfvo type="formula" val="109.8015"/>
        <cfvo type="formula" val="122.001666666667" gte="0"/>
      </iconSet>
    </cfRule>
  </conditionalFormatting>
  <conditionalFormatting sqref="E77">
    <cfRule type="iconSet" priority="533">
      <iconSet iconSet="3Flags" reverse="1">
        <cfvo type="percent" val="0"/>
        <cfvo type="formula" val="77.157"/>
        <cfvo type="formula" val="85.73" gte="0"/>
      </iconSet>
    </cfRule>
  </conditionalFormatting>
  <conditionalFormatting sqref="G77">
    <cfRule type="iconSet" priority="532">
      <iconSet iconSet="3Flags" reverse="1">
        <cfvo type="percent" val="0"/>
        <cfvo type="formula" val="77.157"/>
        <cfvo type="formula" val="85.73" gte="0"/>
      </iconSet>
    </cfRule>
  </conditionalFormatting>
  <conditionalFormatting sqref="I77">
    <cfRule type="iconSet" priority="531">
      <iconSet iconSet="3Flags" reverse="1">
        <cfvo type="percent" val="0"/>
        <cfvo type="formula" val="33.633"/>
        <cfvo type="formula" val="37.37" gte="0"/>
      </iconSet>
    </cfRule>
  </conditionalFormatting>
  <conditionalFormatting sqref="M77">
    <cfRule type="iconSet" priority="529">
      <iconSet iconSet="3Flags" reverse="1">
        <cfvo type="percent" val="0"/>
        <cfvo type="formula" val="0"/>
        <cfvo type="formula" val="0" gte="0"/>
      </iconSet>
    </cfRule>
  </conditionalFormatting>
  <conditionalFormatting sqref="Q77">
    <cfRule type="iconSet" priority="528">
      <iconSet iconSet="3Flags" reverse="1">
        <cfvo type="percent" val="0"/>
        <cfvo type="formula" val="77.157"/>
        <cfvo type="formula" val="85.73" gte="0"/>
      </iconSet>
    </cfRule>
  </conditionalFormatting>
  <conditionalFormatting sqref="S77">
    <cfRule type="iconSet" priority="527">
      <iconSet iconSet="3Flags" reverse="1">
        <cfvo type="percent" val="0"/>
        <cfvo type="formula" val="77.157"/>
        <cfvo type="formula" val="85.73" gte="0"/>
      </iconSet>
    </cfRule>
  </conditionalFormatting>
  <conditionalFormatting sqref="U77">
    <cfRule type="iconSet" priority="526">
      <iconSet iconSet="3Flags" reverse="1">
        <cfvo type="percent" val="0"/>
        <cfvo type="formula" val="77.157"/>
        <cfvo type="formula" val="85.73" gte="0"/>
      </iconSet>
    </cfRule>
  </conditionalFormatting>
  <conditionalFormatting sqref="W77">
    <cfRule type="iconSet" priority="525">
      <iconSet iconSet="3Flags" reverse="1">
        <cfvo type="percent" val="0"/>
        <cfvo type="formula" val="77.157"/>
        <cfvo type="formula" val="85.73" gte="0"/>
      </iconSet>
    </cfRule>
  </conditionalFormatting>
  <conditionalFormatting sqref="Y77">
    <cfRule type="iconSet" priority="524">
      <iconSet iconSet="3Flags" reverse="1">
        <cfvo type="percent" val="0"/>
        <cfvo type="formula" val="77.157"/>
        <cfvo type="formula" val="85.73" gte="0"/>
      </iconSet>
    </cfRule>
  </conditionalFormatting>
  <conditionalFormatting sqref="AA77">
    <cfRule type="iconSet" priority="523">
      <iconSet iconSet="3Flags" reverse="1">
        <cfvo type="percent" val="0"/>
        <cfvo type="formula" val="77.157"/>
        <cfvo type="formula" val="85.73" gte="0"/>
      </iconSet>
    </cfRule>
  </conditionalFormatting>
  <conditionalFormatting sqref="G78">
    <cfRule type="iconSet" priority="521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Q78">
    <cfRule type="iconSet" priority="520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S78">
    <cfRule type="iconSet" priority="519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U78">
    <cfRule type="iconSet" priority="518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W78">
    <cfRule type="iconSet" priority="517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Y78">
    <cfRule type="iconSet" priority="516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AA78">
    <cfRule type="iconSet" priority="515">
      <iconSet iconSet="3Flags" reverse="1">
        <cfvo type="percent" val="0"/>
        <cfvo type="formula" val="231.543245475"/>
        <cfvo type="formula" val="257.27027275" gte="0"/>
      </iconSet>
    </cfRule>
  </conditionalFormatting>
  <conditionalFormatting sqref="AA79">
    <cfRule type="iconSet" priority="503">
      <iconSet iconSet="3Flags" reverse="1">
        <cfvo type="percent" val="0"/>
        <cfvo type="formula" val="251.2275"/>
        <cfvo type="formula" val="279.141666666667" gte="0"/>
      </iconSet>
    </cfRule>
  </conditionalFormatting>
  <conditionalFormatting sqref="M80">
    <cfRule type="iconSet" priority="498">
      <iconSet iconSet="3Flags" reverse="1">
        <cfvo type="percent" val="0"/>
        <cfvo type="formula" val="243"/>
        <cfvo type="formula" val="270" gte="0"/>
      </iconSet>
    </cfRule>
  </conditionalFormatting>
  <conditionalFormatting sqref="O80">
    <cfRule type="iconSet" priority="497">
      <iconSet iconSet="3Flags" reverse="1">
        <cfvo type="percent" val="0"/>
        <cfvo type="formula" val="243"/>
        <cfvo type="formula" val="270" gte="0"/>
      </iconSet>
    </cfRule>
  </conditionalFormatting>
  <conditionalFormatting sqref="Q80">
    <cfRule type="iconSet" priority="496">
      <iconSet iconSet="3Flags" reverse="1">
        <cfvo type="percent" val="0"/>
        <cfvo type="formula" val="196.9935"/>
        <cfvo type="formula" val="218.881666666667" gte="0"/>
      </iconSet>
    </cfRule>
  </conditionalFormatting>
  <conditionalFormatting sqref="S80">
    <cfRule type="iconSet" priority="495">
      <iconSet iconSet="3Flags" reverse="1">
        <cfvo type="percent" val="0"/>
        <cfvo type="formula" val="196.9935"/>
        <cfvo type="formula" val="218.881666666667" gte="0"/>
      </iconSet>
    </cfRule>
  </conditionalFormatting>
  <conditionalFormatting sqref="U80">
    <cfRule type="iconSet" priority="494">
      <iconSet iconSet="3Flags" reverse="1">
        <cfvo type="percent" val="0"/>
        <cfvo type="formula" val="196.9935"/>
        <cfvo type="formula" val="218.881666666667" gte="0"/>
      </iconSet>
    </cfRule>
  </conditionalFormatting>
  <conditionalFormatting sqref="W80">
    <cfRule type="iconSet" priority="493">
      <iconSet iconSet="3Flags" reverse="1">
        <cfvo type="percent" val="0"/>
        <cfvo type="formula" val="196.9935"/>
        <cfvo type="formula" val="218.881666666667" gte="0"/>
      </iconSet>
    </cfRule>
  </conditionalFormatting>
  <conditionalFormatting sqref="Y80">
    <cfRule type="iconSet" priority="492">
      <iconSet iconSet="3Flags" reverse="1">
        <cfvo type="percent" val="0"/>
        <cfvo type="formula" val="196.9935"/>
        <cfvo type="formula" val="218.881666666667" gte="0"/>
      </iconSet>
    </cfRule>
  </conditionalFormatting>
  <conditionalFormatting sqref="AA80">
    <cfRule type="iconSet" priority="491">
      <iconSet iconSet="3Flags" reverse="1">
        <cfvo type="percent" val="0"/>
        <cfvo type="formula" val="196.9935"/>
        <cfvo type="formula" val="218.881666666667" gte="0"/>
      </iconSet>
    </cfRule>
  </conditionalFormatting>
  <conditionalFormatting sqref="O81">
    <cfRule type="iconSet" priority="487">
      <iconSet iconSet="3Flags" reverse="1">
        <cfvo type="percent" val="0"/>
        <cfvo type="formula" val="45"/>
        <cfvo type="formula" val="50" gte="0"/>
      </iconSet>
    </cfRule>
  </conditionalFormatting>
  <conditionalFormatting sqref="Q81">
    <cfRule type="iconSet" priority="486">
      <iconSet iconSet="3Flags" reverse="1">
        <cfvo type="percent" val="0"/>
        <cfvo type="formula" val="80.80425"/>
        <cfvo type="formula" val="89.7825" gte="0"/>
      </iconSet>
    </cfRule>
  </conditionalFormatting>
  <conditionalFormatting sqref="S81">
    <cfRule type="iconSet" priority="485">
      <iconSet iconSet="3Flags" reverse="1">
        <cfvo type="percent" val="0"/>
        <cfvo type="formula" val="80.80425"/>
        <cfvo type="formula" val="89.7825" gte="0"/>
      </iconSet>
    </cfRule>
  </conditionalFormatting>
  <conditionalFormatting sqref="U81">
    <cfRule type="iconSet" priority="484">
      <iconSet iconSet="3Flags" reverse="1">
        <cfvo type="percent" val="0"/>
        <cfvo type="formula" val="80.80425"/>
        <cfvo type="formula" val="89.7825" gte="0"/>
      </iconSet>
    </cfRule>
  </conditionalFormatting>
  <conditionalFormatting sqref="W81">
    <cfRule type="iconSet" priority="483">
      <iconSet iconSet="3Flags" reverse="1">
        <cfvo type="percent" val="0"/>
        <cfvo type="formula" val="80.80425"/>
        <cfvo type="formula" val="89.7825" gte="0"/>
      </iconSet>
    </cfRule>
  </conditionalFormatting>
  <conditionalFormatting sqref="Y81">
    <cfRule type="iconSet" priority="482">
      <iconSet iconSet="3Flags" reverse="1">
        <cfvo type="percent" val="0"/>
        <cfvo type="formula" val="80.80425"/>
        <cfvo type="formula" val="89.7825" gte="0"/>
      </iconSet>
    </cfRule>
  </conditionalFormatting>
  <conditionalFormatting sqref="AA81">
    <cfRule type="iconSet" priority="481">
      <iconSet iconSet="3Flags" reverse="1">
        <cfvo type="percent" val="0"/>
        <cfvo type="formula" val="80.80425"/>
        <cfvo type="formula" val="89.7825" gte="0"/>
      </iconSet>
    </cfRule>
  </conditionalFormatting>
  <conditionalFormatting sqref="I82">
    <cfRule type="iconSet" priority="478">
      <iconSet iconSet="3Flags" reverse="1">
        <cfvo type="percent" val="0"/>
        <cfvo type="formula" val="36"/>
        <cfvo type="formula" val="40" gte="0"/>
      </iconSet>
    </cfRule>
  </conditionalFormatting>
  <conditionalFormatting sqref="M82">
    <cfRule type="iconSet" priority="476">
      <iconSet iconSet="3Flags" reverse="1">
        <cfvo type="percent" val="0"/>
        <cfvo type="formula" val="21.6"/>
        <cfvo type="formula" val="24" gte="0"/>
      </iconSet>
    </cfRule>
  </conditionalFormatting>
  <conditionalFormatting sqref="O82">
    <cfRule type="iconSet" priority="475">
      <iconSet iconSet="3Flags" reverse="1">
        <cfvo type="percent" val="0"/>
        <cfvo type="formula" val="36"/>
        <cfvo type="formula" val="40" gte="0"/>
      </iconSet>
    </cfRule>
  </conditionalFormatting>
  <conditionalFormatting sqref="Q82">
    <cfRule type="iconSet" priority="474">
      <iconSet iconSet="3Flags" reverse="1">
        <cfvo type="percent" val="0"/>
        <cfvo type="formula" val="83.5875"/>
        <cfvo type="formula" val="92.875" gte="0"/>
      </iconSet>
    </cfRule>
  </conditionalFormatting>
  <conditionalFormatting sqref="S82">
    <cfRule type="iconSet" priority="473">
      <iconSet iconSet="3Flags" reverse="1">
        <cfvo type="percent" val="0"/>
        <cfvo type="formula" val="83.5875"/>
        <cfvo type="formula" val="92.875" gte="0"/>
      </iconSet>
    </cfRule>
  </conditionalFormatting>
  <conditionalFormatting sqref="U82">
    <cfRule type="iconSet" priority="472">
      <iconSet iconSet="3Flags" reverse="1">
        <cfvo type="percent" val="0"/>
        <cfvo type="formula" val="83.5875"/>
        <cfvo type="formula" val="92.875" gte="0"/>
      </iconSet>
    </cfRule>
  </conditionalFormatting>
  <conditionalFormatting sqref="W82">
    <cfRule type="iconSet" priority="471">
      <iconSet iconSet="3Flags" reverse="1">
        <cfvo type="percent" val="0"/>
        <cfvo type="formula" val="83.5875"/>
        <cfvo type="formula" val="92.875" gte="0"/>
      </iconSet>
    </cfRule>
  </conditionalFormatting>
  <conditionalFormatting sqref="Y82">
    <cfRule type="iconSet" priority="470">
      <iconSet iconSet="3Flags" reverse="1">
        <cfvo type="percent" val="0"/>
        <cfvo type="formula" val="83.5875"/>
        <cfvo type="formula" val="92.875" gte="0"/>
      </iconSet>
    </cfRule>
  </conditionalFormatting>
  <conditionalFormatting sqref="AA82">
    <cfRule type="iconSet" priority="469">
      <iconSet iconSet="3Flags" reverse="1">
        <cfvo type="percent" val="0"/>
        <cfvo type="formula" val="83.5875"/>
        <cfvo type="formula" val="92.875" gte="0"/>
      </iconSet>
    </cfRule>
  </conditionalFormatting>
  <conditionalFormatting sqref="O83">
    <cfRule type="iconSet" priority="463">
      <iconSet iconSet="3Flags" reverse="1">
        <cfvo type="percent" val="0"/>
        <cfvo type="formula" val="360"/>
        <cfvo type="formula" val="400" gte="0"/>
      </iconSet>
    </cfRule>
  </conditionalFormatting>
  <conditionalFormatting sqref="Q83">
    <cfRule type="iconSet" priority="462">
      <iconSet iconSet="3Flags" reverse="1">
        <cfvo type="percent" val="0"/>
        <cfvo type="formula" val="130.587"/>
        <cfvo type="formula" val="145.096666666667" gte="0"/>
      </iconSet>
    </cfRule>
  </conditionalFormatting>
  <conditionalFormatting sqref="S83">
    <cfRule type="iconSet" priority="461">
      <iconSet iconSet="3Flags" reverse="1">
        <cfvo type="percent" val="0"/>
        <cfvo type="formula" val="130.587"/>
        <cfvo type="formula" val="145.096666666667" gte="0"/>
      </iconSet>
    </cfRule>
  </conditionalFormatting>
  <conditionalFormatting sqref="U83">
    <cfRule type="iconSet" priority="460">
      <iconSet iconSet="3Flags" reverse="1">
        <cfvo type="percent" val="0"/>
        <cfvo type="formula" val="130.587"/>
        <cfvo type="formula" val="145.096666666667" gte="0"/>
      </iconSet>
    </cfRule>
  </conditionalFormatting>
  <conditionalFormatting sqref="W83">
    <cfRule type="iconSet" priority="459">
      <iconSet iconSet="3Flags" reverse="1">
        <cfvo type="percent" val="0"/>
        <cfvo type="formula" val="130.587"/>
        <cfvo type="formula" val="145.096666666667" gte="0"/>
      </iconSet>
    </cfRule>
  </conditionalFormatting>
  <conditionalFormatting sqref="Y83">
    <cfRule type="iconSet" priority="458">
      <iconSet iconSet="3Flags" reverse="1">
        <cfvo type="percent" val="0"/>
        <cfvo type="formula" val="130.587"/>
        <cfvo type="formula" val="145.096666666667" gte="0"/>
      </iconSet>
    </cfRule>
  </conditionalFormatting>
  <conditionalFormatting sqref="AA83">
    <cfRule type="iconSet" priority="457">
      <iconSet iconSet="3Flags" reverse="1">
        <cfvo type="percent" val="0"/>
        <cfvo type="formula" val="130.587"/>
        <cfvo type="formula" val="145.096666666667" gte="0"/>
      </iconSet>
    </cfRule>
  </conditionalFormatting>
  <conditionalFormatting sqref="AA84">
    <cfRule type="iconSet" priority="445">
      <iconSet iconSet="3Flags" reverse="1">
        <cfvo type="percent" val="0"/>
        <cfvo type="formula" val="66.3405"/>
        <cfvo type="formula" val="73.7116666666667" gte="0"/>
      </iconSet>
    </cfRule>
  </conditionalFormatting>
  <conditionalFormatting sqref="K85">
    <cfRule type="iconSet" priority="444">
      <iconSet iconSet="3Flags" reverse="1">
        <cfvo type="percent" val="0"/>
        <cfvo type="formula" val="0"/>
        <cfvo type="formula" val="0" gte="0"/>
      </iconSet>
    </cfRule>
  </conditionalFormatting>
  <conditionalFormatting sqref="M87">
    <cfRule type="iconSet" priority="443">
      <iconSet iconSet="3Flags" reverse="1">
        <cfvo type="percent" val="0"/>
        <cfvo type="formula" val="553.464"/>
        <cfvo type="formula" val="614.96" gte="0"/>
      </iconSet>
    </cfRule>
  </conditionalFormatting>
  <conditionalFormatting sqref="Q87">
    <cfRule type="iconSet" priority="442">
      <iconSet iconSet="3Flags" reverse="1">
        <cfvo type="percent" val="0"/>
        <cfvo type="formula" val="553.464"/>
        <cfvo type="formula" val="614.96" gte="0"/>
      </iconSet>
    </cfRule>
  </conditionalFormatting>
  <conditionalFormatting sqref="S87">
    <cfRule type="iconSet" priority="441">
      <iconSet iconSet="3Flags" reverse="1">
        <cfvo type="percent" val="0"/>
        <cfvo type="formula" val="553.464"/>
        <cfvo type="formula" val="614.96" gte="0"/>
      </iconSet>
    </cfRule>
  </conditionalFormatting>
  <conditionalFormatting sqref="E88">
    <cfRule type="iconSet" priority="440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G88">
    <cfRule type="iconSet" priority="439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I88">
    <cfRule type="iconSet" priority="438">
      <iconSet iconSet="3Flags" reverse="1">
        <cfvo type="percent" val="0"/>
        <cfvo type="formula" val="5.4"/>
        <cfvo type="formula" val="6" gte="0"/>
      </iconSet>
    </cfRule>
  </conditionalFormatting>
  <conditionalFormatting sqref="K88">
    <cfRule type="iconSet" priority="437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M88">
    <cfRule type="iconSet" priority="436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O88">
    <cfRule type="iconSet" priority="435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Q88">
    <cfRule type="iconSet" priority="434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S88">
    <cfRule type="iconSet" priority="433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U88">
    <cfRule type="iconSet" priority="432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W88">
    <cfRule type="iconSet" priority="431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Y88">
    <cfRule type="iconSet" priority="430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AA88">
    <cfRule type="iconSet" priority="429">
      <iconSet iconSet="3Flags" reverse="1">
        <cfvo type="percent" val="0"/>
        <cfvo type="formula" val="10.2022272"/>
        <cfvo type="formula" val="11.335808" gte="0"/>
      </iconSet>
    </cfRule>
  </conditionalFormatting>
  <conditionalFormatting sqref="E89">
    <cfRule type="iconSet" priority="428">
      <iconSet iconSet="3Flags" reverse="1">
        <cfvo type="percent" val="0"/>
        <cfvo type="formula" val="2586.168"/>
        <cfvo type="formula" val="2873.52" gte="0"/>
      </iconSet>
    </cfRule>
  </conditionalFormatting>
  <conditionalFormatting sqref="G89">
    <cfRule type="iconSet" priority="427">
      <iconSet iconSet="3Flags" reverse="1">
        <cfvo type="percent" val="0"/>
        <cfvo type="formula" val="1506.168"/>
        <cfvo type="formula" val="1673.52" gte="0"/>
      </iconSet>
    </cfRule>
  </conditionalFormatting>
  <conditionalFormatting sqref="I89">
    <cfRule type="iconSet" priority="426">
      <iconSet iconSet="3Flags" reverse="1">
        <cfvo type="percent" val="0"/>
        <cfvo type="formula" val="1635.606"/>
        <cfvo type="formula" val="1817.34" gte="0"/>
      </iconSet>
    </cfRule>
  </conditionalFormatting>
  <conditionalFormatting sqref="K89">
    <cfRule type="iconSet" priority="425">
      <iconSet iconSet="3Flags" reverse="1">
        <cfvo type="percent" val="0"/>
        <cfvo type="formula" val="1541.439"/>
        <cfvo type="formula" val="1712.71" gte="0"/>
      </iconSet>
    </cfRule>
  </conditionalFormatting>
  <conditionalFormatting sqref="M89">
    <cfRule type="iconSet" priority="424">
      <iconSet iconSet="3Flags" reverse="1">
        <cfvo type="percent" val="0"/>
        <cfvo type="formula" val="522"/>
        <cfvo type="formula" val="580" gte="0"/>
      </iconSet>
    </cfRule>
  </conditionalFormatting>
  <conditionalFormatting sqref="O90">
    <cfRule type="iconSet" priority="423">
      <iconSet iconSet="3Flags" reverse="1">
        <cfvo type="percent" val="0"/>
        <cfvo type="formula" val="0"/>
        <cfvo type="formula" val="0" gte="0"/>
      </iconSet>
    </cfRule>
  </conditionalFormatting>
  <conditionalFormatting sqref="M96">
    <cfRule type="iconSet" priority="422">
      <iconSet iconSet="3Flags" reverse="1">
        <cfvo type="percent" val="0"/>
        <cfvo type="formula" val="0"/>
        <cfvo type="formula" val="0" gte="0"/>
      </iconSet>
    </cfRule>
  </conditionalFormatting>
  <conditionalFormatting sqref="O96">
    <cfRule type="iconSet" priority="421">
      <iconSet iconSet="3Flags" reverse="1">
        <cfvo type="percent" val="0"/>
        <cfvo type="formula" val="0"/>
        <cfvo type="formula" val="0" gte="0"/>
      </iconSet>
    </cfRule>
  </conditionalFormatting>
  <conditionalFormatting sqref="Q96">
    <cfRule type="iconSet" priority="420">
      <iconSet iconSet="3Flags" reverse="1">
        <cfvo type="percent" val="0"/>
        <cfvo type="formula" val="0"/>
        <cfvo type="formula" val="0" gte="0"/>
      </iconSet>
    </cfRule>
  </conditionalFormatting>
  <conditionalFormatting sqref="S96">
    <cfRule type="iconSet" priority="419">
      <iconSet iconSet="3Flags" reverse="1">
        <cfvo type="percent" val="0"/>
        <cfvo type="formula" val="0"/>
        <cfvo type="formula" val="0" gte="0"/>
      </iconSet>
    </cfRule>
  </conditionalFormatting>
  <conditionalFormatting sqref="S97">
    <cfRule type="iconSet" priority="418">
      <iconSet iconSet="3Flags" reverse="1">
        <cfvo type="percent" val="0"/>
        <cfvo type="formula" val="0"/>
        <cfvo type="formula" val="0" gte="0"/>
      </iconSet>
    </cfRule>
  </conditionalFormatting>
  <conditionalFormatting sqref="M111">
    <cfRule type="iconSet" priority="417">
      <iconSet iconSet="3Flags" reverse="1">
        <cfvo type="percent" val="0"/>
        <cfvo type="formula" val="553.464"/>
        <cfvo type="formula" val="614.96" gte="0"/>
      </iconSet>
    </cfRule>
  </conditionalFormatting>
  <conditionalFormatting sqref="O111">
    <cfRule type="iconSet" priority="416">
      <iconSet iconSet="3Flags" reverse="1">
        <cfvo type="percent" val="0"/>
        <cfvo type="formula" val="553.464"/>
        <cfvo type="formula" val="614.96" gte="0"/>
      </iconSet>
    </cfRule>
  </conditionalFormatting>
  <conditionalFormatting sqref="Q111">
    <cfRule type="iconSet" priority="415">
      <iconSet iconSet="3Flags" reverse="1">
        <cfvo type="percent" val="0"/>
        <cfvo type="formula" val="553.464"/>
        <cfvo type="formula" val="614.96" gte="0"/>
      </iconSet>
    </cfRule>
  </conditionalFormatting>
  <conditionalFormatting sqref="S111">
    <cfRule type="iconSet" priority="414">
      <iconSet iconSet="3Flags" reverse="1">
        <cfvo type="percent" val="0"/>
        <cfvo type="formula" val="553.464"/>
        <cfvo type="formula" val="614.96" gte="0"/>
      </iconSet>
    </cfRule>
  </conditionalFormatting>
  <conditionalFormatting sqref="Q112">
    <cfRule type="iconSet" priority="413">
      <iconSet iconSet="3Flags" reverse="1">
        <cfvo type="percent" val="0"/>
        <cfvo type="formula" val="0"/>
        <cfvo type="formula" val="0" gte="0"/>
      </iconSet>
    </cfRule>
  </conditionalFormatting>
  <conditionalFormatting sqref="S112">
    <cfRule type="iconSet" priority="412">
      <iconSet iconSet="3Flags" reverse="1">
        <cfvo type="percent" val="0"/>
        <cfvo type="formula" val="0"/>
        <cfvo type="formula" val="0" gte="0"/>
      </iconSet>
    </cfRule>
  </conditionalFormatting>
  <conditionalFormatting sqref="E117">
    <cfRule type="iconSet" priority="411">
      <iconSet iconSet="3Flags" reverse="1">
        <cfvo type="percent" val="0"/>
        <cfvo type="formula" val="135"/>
        <cfvo type="formula" val="150" gte="0"/>
      </iconSet>
    </cfRule>
  </conditionalFormatting>
  <conditionalFormatting sqref="G117">
    <cfRule type="iconSet" priority="410">
      <iconSet iconSet="3Flags" reverse="1">
        <cfvo type="percent" val="0"/>
        <cfvo type="formula" val="135"/>
        <cfvo type="formula" val="150" gte="0"/>
      </iconSet>
    </cfRule>
  </conditionalFormatting>
  <conditionalFormatting sqref="I117">
    <cfRule type="iconSet" priority="409">
      <iconSet iconSet="3Flags" reverse="1">
        <cfvo type="percent" val="0"/>
        <cfvo type="formula" val="180"/>
        <cfvo type="formula" val="200" gte="0"/>
      </iconSet>
    </cfRule>
  </conditionalFormatting>
  <conditionalFormatting sqref="K117">
    <cfRule type="iconSet" priority="408">
      <iconSet iconSet="3Flags" reverse="1">
        <cfvo type="percent" val="0"/>
        <cfvo type="formula" val="264.708"/>
        <cfvo type="formula" val="294.12" gte="0"/>
      </iconSet>
    </cfRule>
  </conditionalFormatting>
  <conditionalFormatting sqref="M117">
    <cfRule type="iconSet" priority="407">
      <iconSet iconSet="3Flags" reverse="1">
        <cfvo type="percent" val="0"/>
        <cfvo type="formula" val="264.708"/>
        <cfvo type="formula" val="294.12" gte="0"/>
      </iconSet>
    </cfRule>
  </conditionalFormatting>
  <conditionalFormatting sqref="O117">
    <cfRule type="iconSet" priority="406">
      <iconSet iconSet="3Flags" reverse="1">
        <cfvo type="percent" val="0"/>
        <cfvo type="formula" val="264.708"/>
        <cfvo type="formula" val="294.12" gte="0"/>
      </iconSet>
    </cfRule>
  </conditionalFormatting>
  <conditionalFormatting sqref="Q117">
    <cfRule type="iconSet" priority="405">
      <iconSet iconSet="3Flags" reverse="1">
        <cfvo type="percent" val="0"/>
        <cfvo type="formula" val="264.708"/>
        <cfvo type="formula" val="294.12" gte="0"/>
      </iconSet>
    </cfRule>
  </conditionalFormatting>
  <conditionalFormatting sqref="S117">
    <cfRule type="iconSet" priority="404">
      <iconSet iconSet="3Flags" reverse="1">
        <cfvo type="percent" val="0"/>
        <cfvo type="formula" val="264.708"/>
        <cfvo type="formula" val="294.12" gte="0"/>
      </iconSet>
    </cfRule>
  </conditionalFormatting>
  <conditionalFormatting sqref="S118">
    <cfRule type="iconSet" priority="403">
      <iconSet iconSet="3Flags" reverse="1">
        <cfvo type="percent" val="0"/>
        <cfvo type="formula" val="0"/>
        <cfvo type="formula" val="0" gte="0"/>
      </iconSet>
    </cfRule>
  </conditionalFormatting>
  <conditionalFormatting sqref="AA124">
    <cfRule type="iconSet" priority="391">
      <iconSet iconSet="3Flags" reverse="1">
        <cfvo type="percent" val="0"/>
        <cfvo type="formula" val="6348.4847"/>
        <cfvo type="formula" val="7053.8719" gte="0"/>
      </iconSet>
    </cfRule>
  </conditionalFormatting>
  <conditionalFormatting sqref="G16">
    <cfRule type="iconSet" priority="359">
      <iconSet iconSet="3Flags" reverse="1">
        <cfvo type="percent" val="0"/>
        <cfvo type="formula" val="0"/>
        <cfvo type="formula" val="0" gte="0"/>
      </iconSet>
    </cfRule>
  </conditionalFormatting>
  <conditionalFormatting sqref="G19">
    <cfRule type="iconSet" priority="357">
      <iconSet iconSet="3Flags" reverse="1">
        <cfvo type="percent" val="0"/>
        <cfvo type="formula" val="0"/>
        <cfvo type="formula" val="0" gte="0"/>
      </iconSet>
    </cfRule>
  </conditionalFormatting>
  <conditionalFormatting sqref="G20">
    <cfRule type="iconSet" priority="355">
      <iconSet iconSet="3Flags" reverse="1">
        <cfvo type="percent" val="0"/>
        <cfvo type="formula" val="0"/>
        <cfvo type="formula" val="0" gte="0"/>
      </iconSet>
    </cfRule>
  </conditionalFormatting>
  <conditionalFormatting sqref="G21">
    <cfRule type="iconSet" priority="353">
      <iconSet iconSet="3Flags" reverse="1">
        <cfvo type="percent" val="0"/>
        <cfvo type="formula" val="0"/>
        <cfvo type="formula" val="0" gte="0"/>
      </iconSet>
    </cfRule>
  </conditionalFormatting>
  <conditionalFormatting sqref="G22">
    <cfRule type="iconSet" priority="351">
      <iconSet iconSet="3Flags" reverse="1">
        <cfvo type="percent" val="0"/>
        <cfvo type="formula" val="0"/>
        <cfvo type="formula" val="0" gte="0"/>
      </iconSet>
    </cfRule>
  </conditionalFormatting>
  <conditionalFormatting sqref="G24">
    <cfRule type="iconSet" priority="347">
      <iconSet iconSet="3Flags" reverse="1">
        <cfvo type="percent" val="0"/>
        <cfvo type="formula" val="0"/>
        <cfvo type="formula" val="0" gte="0"/>
      </iconSet>
    </cfRule>
  </conditionalFormatting>
  <conditionalFormatting sqref="G28">
    <cfRule type="iconSet" priority="345">
      <iconSet iconSet="3Flags" reverse="1">
        <cfvo type="percent" val="0"/>
        <cfvo type="formula" val="0"/>
        <cfvo type="formula" val="0" gte="0"/>
      </iconSet>
    </cfRule>
  </conditionalFormatting>
  <conditionalFormatting sqref="E58">
    <cfRule type="iconSet" priority="332">
      <iconSet iconSet="3Flags" reverse="1">
        <cfvo type="percent" val="0"/>
        <cfvo type="formula" val="0"/>
        <cfvo type="formula" val="0" gte="0"/>
      </iconSet>
    </cfRule>
  </conditionalFormatting>
  <conditionalFormatting sqref="M83">
    <cfRule type="iconSet" priority="282">
      <iconSet iconSet="3Flags" reverse="1">
        <cfvo type="percent" val="0"/>
        <cfvo type="formula" val="175.311"/>
        <cfvo type="formula" val="194.79" gte="0"/>
      </iconSet>
    </cfRule>
  </conditionalFormatting>
  <conditionalFormatting sqref="G109">
    <cfRule type="iconSet" priority="258">
      <iconSet iconSet="3Flags" reverse="1">
        <cfvo type="percent" val="0"/>
        <cfvo type="formula" val="0"/>
        <cfvo type="formula" val="0" gte="0"/>
      </iconSet>
    </cfRule>
  </conditionalFormatting>
  <conditionalFormatting sqref="G112">
    <cfRule type="iconSet" priority="257">
      <iconSet iconSet="3Flags" reverse="1">
        <cfvo type="percent" val="0"/>
        <cfvo type="formula" val="0"/>
        <cfvo type="formula" val="0" gte="0"/>
      </iconSet>
    </cfRule>
  </conditionalFormatting>
  <conditionalFormatting sqref="I14">
    <cfRule type="iconSet" priority="219">
      <iconSet iconSet="3Flags" reverse="1">
        <cfvo type="percent" val="0"/>
        <cfvo type="formula" val="5501.943"/>
        <cfvo type="formula" val="6113.27" gte="0"/>
      </iconSet>
    </cfRule>
  </conditionalFormatting>
  <conditionalFormatting sqref="K14">
    <cfRule type="iconSet" priority="218">
      <iconSet iconSet="3Flags" reverse="1">
        <cfvo type="percent" val="0"/>
        <cfvo type="formula" val="5408.343"/>
        <cfvo type="formula" val="6009.27" gte="0"/>
      </iconSet>
    </cfRule>
  </conditionalFormatting>
  <conditionalFormatting sqref="M14">
    <cfRule type="iconSet" priority="217">
      <iconSet iconSet="3Flags" reverse="1">
        <cfvo type="percent" val="0"/>
        <cfvo type="formula" val="5372.343"/>
        <cfvo type="formula" val="5969.27" gte="0"/>
      </iconSet>
    </cfRule>
  </conditionalFormatting>
  <conditionalFormatting sqref="E15">
    <cfRule type="iconSet" priority="216">
      <iconSet iconSet="3Flags" reverse="1">
        <cfvo type="percent" val="0"/>
        <cfvo type="formula" val="0"/>
        <cfvo type="formula" val="0" gte="0"/>
      </iconSet>
    </cfRule>
  </conditionalFormatting>
  <conditionalFormatting sqref="G15">
    <cfRule type="iconSet" priority="215">
      <iconSet iconSet="3Flags" reverse="1">
        <cfvo type="percent" val="0"/>
        <cfvo type="formula" val="0"/>
        <cfvo type="formula" val="0" gte="0"/>
      </iconSet>
    </cfRule>
  </conditionalFormatting>
  <conditionalFormatting sqref="I15">
    <cfRule type="iconSet" priority="214">
      <iconSet iconSet="3Flags" reverse="1">
        <cfvo type="percent" val="0"/>
        <cfvo type="formula" val="423"/>
        <cfvo type="formula" val="470" gte="0"/>
      </iconSet>
    </cfRule>
  </conditionalFormatting>
  <conditionalFormatting sqref="K15">
    <cfRule type="iconSet" priority="213">
      <iconSet iconSet="3Flags" reverse="1">
        <cfvo type="percent" val="0"/>
        <cfvo type="formula" val="360"/>
        <cfvo type="formula" val="400" gte="0"/>
      </iconSet>
    </cfRule>
  </conditionalFormatting>
  <conditionalFormatting sqref="M15">
    <cfRule type="iconSet" priority="212">
      <iconSet iconSet="3Flags" reverse="1">
        <cfvo type="percent" val="0"/>
        <cfvo type="formula" val="360"/>
        <cfvo type="formula" val="400" gte="0"/>
      </iconSet>
    </cfRule>
  </conditionalFormatting>
  <conditionalFormatting sqref="E16">
    <cfRule type="iconSet" priority="211">
      <iconSet iconSet="3Flags" reverse="1">
        <cfvo type="percent" val="0"/>
        <cfvo type="formula" val="0"/>
        <cfvo type="formula" val="0" gte="0"/>
      </iconSet>
    </cfRule>
  </conditionalFormatting>
  <conditionalFormatting sqref="I16">
    <cfRule type="iconSet" priority="210">
      <iconSet iconSet="3Flags" reverse="1">
        <cfvo type="percent" val="0"/>
        <cfvo type="formula" val="947.7"/>
        <cfvo type="formula" val="1053" gte="0"/>
      </iconSet>
    </cfRule>
  </conditionalFormatting>
  <conditionalFormatting sqref="K16">
    <cfRule type="iconSet" priority="209">
      <iconSet iconSet="3Flags" reverse="1">
        <cfvo type="percent" val="0"/>
        <cfvo type="formula" val="947.7"/>
        <cfvo type="formula" val="1053" gte="0"/>
      </iconSet>
    </cfRule>
  </conditionalFormatting>
  <conditionalFormatting sqref="M16">
    <cfRule type="iconSet" priority="208">
      <iconSet iconSet="3Flags" reverse="1">
        <cfvo type="percent" val="0"/>
        <cfvo type="formula" val="947.7"/>
        <cfvo type="formula" val="1053" gte="0"/>
      </iconSet>
    </cfRule>
  </conditionalFormatting>
  <conditionalFormatting sqref="E17">
    <cfRule type="iconSet" priority="207">
      <iconSet iconSet="3Flags" reverse="1">
        <cfvo type="percent" val="0"/>
        <cfvo type="formula" val="0"/>
        <cfvo type="formula" val="0" gte="0"/>
      </iconSet>
    </cfRule>
  </conditionalFormatting>
  <conditionalFormatting sqref="G17">
    <cfRule type="iconSet" priority="206">
      <iconSet iconSet="3Flags" reverse="1">
        <cfvo type="percent" val="0"/>
        <cfvo type="formula" val="0"/>
        <cfvo type="formula" val="0" gte="0"/>
      </iconSet>
    </cfRule>
  </conditionalFormatting>
  <conditionalFormatting sqref="I17">
    <cfRule type="iconSet" priority="205">
      <iconSet iconSet="3Flags" reverse="1">
        <cfvo type="percent" val="0"/>
        <cfvo type="formula" val="1584.135"/>
        <cfvo type="formula" val="1760.15" gte="0"/>
      </iconSet>
    </cfRule>
  </conditionalFormatting>
  <conditionalFormatting sqref="K17">
    <cfRule type="iconSet" priority="204">
      <iconSet iconSet="3Flags" reverse="1">
        <cfvo type="percent" val="0"/>
        <cfvo type="formula" val="1584.135"/>
        <cfvo type="formula" val="1760.15" gte="0"/>
      </iconSet>
    </cfRule>
  </conditionalFormatting>
  <conditionalFormatting sqref="M17">
    <cfRule type="iconSet" priority="203">
      <iconSet iconSet="3Flags" reverse="1">
        <cfvo type="percent" val="0"/>
        <cfvo type="formula" val="1584.135"/>
        <cfvo type="formula" val="1760.15" gte="0"/>
      </iconSet>
    </cfRule>
  </conditionalFormatting>
  <conditionalFormatting sqref="G18">
    <cfRule type="iconSet" priority="202">
      <iconSet iconSet="3Flags" reverse="1">
        <cfvo type="percent" val="0"/>
        <cfvo type="formula" val="0"/>
        <cfvo type="formula" val="0" gte="0"/>
      </iconSet>
    </cfRule>
  </conditionalFormatting>
  <conditionalFormatting sqref="I18">
    <cfRule type="iconSet" priority="201">
      <iconSet iconSet="3Flags" reverse="1">
        <cfvo type="percent" val="0"/>
        <cfvo type="formula" val="46.008"/>
        <cfvo type="formula" val="51.12" gte="0"/>
      </iconSet>
    </cfRule>
  </conditionalFormatting>
  <conditionalFormatting sqref="K18">
    <cfRule type="iconSet" priority="200">
      <iconSet iconSet="3Flags" reverse="1">
        <cfvo type="percent" val="0"/>
        <cfvo type="formula" val="46.008"/>
        <cfvo type="formula" val="51.12" gte="0"/>
      </iconSet>
    </cfRule>
  </conditionalFormatting>
  <conditionalFormatting sqref="M18">
    <cfRule type="iconSet" priority="199">
      <iconSet iconSet="3Flags" reverse="1">
        <cfvo type="percent" val="0"/>
        <cfvo type="formula" val="46.008"/>
        <cfvo type="formula" val="51.12" gte="0"/>
      </iconSet>
    </cfRule>
  </conditionalFormatting>
  <conditionalFormatting sqref="E19">
    <cfRule type="iconSet" priority="198">
      <iconSet iconSet="3Flags" reverse="1">
        <cfvo type="percent" val="0"/>
        <cfvo type="formula" val="0"/>
        <cfvo type="formula" val="0" gte="0"/>
      </iconSet>
    </cfRule>
  </conditionalFormatting>
  <conditionalFormatting sqref="E20">
    <cfRule type="iconSet" priority="197">
      <iconSet iconSet="3Flags" reverse="1">
        <cfvo type="percent" val="0"/>
        <cfvo type="formula" val="0"/>
        <cfvo type="formula" val="0" gte="0"/>
      </iconSet>
    </cfRule>
  </conditionalFormatting>
  <conditionalFormatting sqref="I20">
    <cfRule type="iconSet" priority="196">
      <iconSet iconSet="3Flags" reverse="1">
        <cfvo type="percent" val="0"/>
        <cfvo type="formula" val="81"/>
        <cfvo type="formula" val="90" gte="0"/>
      </iconSet>
    </cfRule>
  </conditionalFormatting>
  <conditionalFormatting sqref="K20">
    <cfRule type="iconSet" priority="195">
      <iconSet iconSet="3Flags" reverse="1">
        <cfvo type="percent" val="0"/>
        <cfvo type="formula" val="81"/>
        <cfvo type="formula" val="90" gte="0"/>
      </iconSet>
    </cfRule>
  </conditionalFormatting>
  <conditionalFormatting sqref="M20">
    <cfRule type="iconSet" priority="194">
      <iconSet iconSet="3Flags" reverse="1">
        <cfvo type="percent" val="0"/>
        <cfvo type="formula" val="81"/>
        <cfvo type="formula" val="90" gte="0"/>
      </iconSet>
    </cfRule>
  </conditionalFormatting>
  <conditionalFormatting sqref="E21">
    <cfRule type="iconSet" priority="193">
      <iconSet iconSet="3Flags" reverse="1">
        <cfvo type="percent" val="0"/>
        <cfvo type="formula" val="0"/>
        <cfvo type="formula" val="0" gte="0"/>
      </iconSet>
    </cfRule>
  </conditionalFormatting>
  <conditionalFormatting sqref="I21">
    <cfRule type="iconSet" priority="192">
      <iconSet iconSet="3Flags" reverse="1">
        <cfvo type="percent" val="0"/>
        <cfvo type="formula" val="111.6"/>
        <cfvo type="formula" val="124" gte="0"/>
      </iconSet>
    </cfRule>
  </conditionalFormatting>
  <conditionalFormatting sqref="K21">
    <cfRule type="iconSet" priority="191">
      <iconSet iconSet="3Flags" reverse="1">
        <cfvo type="percent" val="0"/>
        <cfvo type="formula" val="111.6"/>
        <cfvo type="formula" val="124" gte="0"/>
      </iconSet>
    </cfRule>
  </conditionalFormatting>
  <conditionalFormatting sqref="M21">
    <cfRule type="iconSet" priority="190">
      <iconSet iconSet="3Flags" reverse="1">
        <cfvo type="percent" val="0"/>
        <cfvo type="formula" val="111.6"/>
        <cfvo type="formula" val="124" gte="0"/>
      </iconSet>
    </cfRule>
  </conditionalFormatting>
  <conditionalFormatting sqref="E22">
    <cfRule type="iconSet" priority="189">
      <iconSet iconSet="3Flags" reverse="1">
        <cfvo type="percent" val="0"/>
        <cfvo type="formula" val="0"/>
        <cfvo type="formula" val="0" gte="0"/>
      </iconSet>
    </cfRule>
  </conditionalFormatting>
  <conditionalFormatting sqref="I22">
    <cfRule type="iconSet" priority="188">
      <iconSet iconSet="3Flags" reverse="1">
        <cfvo type="percent" val="0"/>
        <cfvo type="formula" val="216"/>
        <cfvo type="formula" val="240" gte="0"/>
      </iconSet>
    </cfRule>
  </conditionalFormatting>
  <conditionalFormatting sqref="K22">
    <cfRule type="iconSet" priority="187">
      <iconSet iconSet="3Flags" reverse="1">
        <cfvo type="percent" val="0"/>
        <cfvo type="formula" val="243"/>
        <cfvo type="formula" val="270" gte="0"/>
      </iconSet>
    </cfRule>
  </conditionalFormatting>
  <conditionalFormatting sqref="M22">
    <cfRule type="iconSet" priority="186">
      <iconSet iconSet="3Flags" reverse="1">
        <cfvo type="percent" val="0"/>
        <cfvo type="formula" val="207"/>
        <cfvo type="formula" val="230" gte="0"/>
      </iconSet>
    </cfRule>
  </conditionalFormatting>
  <conditionalFormatting sqref="E23">
    <cfRule type="iconSet" priority="185">
      <iconSet iconSet="3Flags" reverse="1">
        <cfvo type="percent" val="0"/>
        <cfvo type="formula" val="0"/>
        <cfvo type="formula" val="0" gte="0"/>
      </iconSet>
    </cfRule>
  </conditionalFormatting>
  <conditionalFormatting sqref="G23">
    <cfRule type="iconSet" priority="184">
      <iconSet iconSet="3Flags" reverse="1">
        <cfvo type="percent" val="0"/>
        <cfvo type="formula" val="0"/>
        <cfvo type="formula" val="0" gte="0"/>
      </iconSet>
    </cfRule>
  </conditionalFormatting>
  <conditionalFormatting sqref="I23">
    <cfRule type="iconSet" priority="183">
      <iconSet iconSet="3Flags" reverse="1">
        <cfvo type="percent" val="0"/>
        <cfvo type="formula" val="237.6"/>
        <cfvo type="formula" val="264" gte="0"/>
      </iconSet>
    </cfRule>
  </conditionalFormatting>
  <conditionalFormatting sqref="K23">
    <cfRule type="iconSet" priority="182">
      <iconSet iconSet="3Flags" reverse="1">
        <cfvo type="percent" val="0"/>
        <cfvo type="formula" val="180"/>
        <cfvo type="formula" val="200" gte="0"/>
      </iconSet>
    </cfRule>
  </conditionalFormatting>
  <conditionalFormatting sqref="M23">
    <cfRule type="iconSet" priority="181">
      <iconSet iconSet="3Flags" reverse="1">
        <cfvo type="percent" val="0"/>
        <cfvo type="formula" val="180"/>
        <cfvo type="formula" val="200" gte="0"/>
      </iconSet>
    </cfRule>
  </conditionalFormatting>
  <conditionalFormatting sqref="E24">
    <cfRule type="iconSet" priority="180">
      <iconSet iconSet="3Flags" reverse="1">
        <cfvo type="percent" val="0"/>
        <cfvo type="formula" val="0"/>
        <cfvo type="formula" val="0" gte="0"/>
      </iconSet>
    </cfRule>
  </conditionalFormatting>
  <conditionalFormatting sqref="I24">
    <cfRule type="iconSet" priority="179">
      <iconSet iconSet="3Flags" reverse="1">
        <cfvo type="percent" val="0"/>
        <cfvo type="formula" val="801.9"/>
        <cfvo type="formula" val="891" gte="0"/>
      </iconSet>
    </cfRule>
  </conditionalFormatting>
  <conditionalFormatting sqref="K24">
    <cfRule type="iconSet" priority="178">
      <iconSet iconSet="3Flags" reverse="1">
        <cfvo type="percent" val="0"/>
        <cfvo type="formula" val="801.9"/>
        <cfvo type="formula" val="891" gte="0"/>
      </iconSet>
    </cfRule>
  </conditionalFormatting>
  <conditionalFormatting sqref="M24">
    <cfRule type="iconSet" priority="177">
      <iconSet iconSet="3Flags" reverse="1">
        <cfvo type="percent" val="0"/>
        <cfvo type="formula" val="801.9"/>
        <cfvo type="formula" val="891" gte="0"/>
      </iconSet>
    </cfRule>
  </conditionalFormatting>
  <conditionalFormatting sqref="E28">
    <cfRule type="iconSet" priority="176">
      <iconSet iconSet="3Flags" reverse="1">
        <cfvo type="percent" val="0"/>
        <cfvo type="formula" val="0"/>
        <cfvo type="formula" val="0" gte="0"/>
      </iconSet>
    </cfRule>
  </conditionalFormatting>
  <conditionalFormatting sqref="E31">
    <cfRule type="iconSet" priority="175">
      <iconSet iconSet="3Flags" reverse="1">
        <cfvo type="percent" val="0"/>
        <cfvo type="formula" val="0"/>
        <cfvo type="formula" val="0" gte="0"/>
      </iconSet>
    </cfRule>
  </conditionalFormatting>
  <conditionalFormatting sqref="G31">
    <cfRule type="iconSet" priority="174">
      <iconSet iconSet="3Flags" reverse="1">
        <cfvo type="percent" val="0"/>
        <cfvo type="formula" val="0"/>
        <cfvo type="formula" val="0" gte="0"/>
      </iconSet>
    </cfRule>
  </conditionalFormatting>
  <conditionalFormatting sqref="I31">
    <cfRule type="iconSet" priority="173">
      <iconSet iconSet="3Flags" reverse="1">
        <cfvo type="percent" val="0"/>
        <cfvo type="formula" val="1053"/>
        <cfvo type="formula" val="1170" gte="0"/>
      </iconSet>
    </cfRule>
  </conditionalFormatting>
  <conditionalFormatting sqref="K31">
    <cfRule type="iconSet" priority="172">
      <iconSet iconSet="3Flags" reverse="1">
        <cfvo type="percent" val="0"/>
        <cfvo type="formula" val="1053"/>
        <cfvo type="formula" val="1170" gte="0"/>
      </iconSet>
    </cfRule>
  </conditionalFormatting>
  <conditionalFormatting sqref="M31">
    <cfRule type="iconSet" priority="171">
      <iconSet iconSet="3Flags" reverse="1">
        <cfvo type="percent" val="0"/>
        <cfvo type="formula" val="1053"/>
        <cfvo type="formula" val="1170" gte="0"/>
      </iconSet>
    </cfRule>
  </conditionalFormatting>
  <conditionalFormatting sqref="E36">
    <cfRule type="iconSet" priority="170">
      <iconSet iconSet="3Flags" reverse="1">
        <cfvo type="percent" val="0"/>
        <cfvo type="formula" val="0"/>
        <cfvo type="formula" val="0" gte="0"/>
      </iconSet>
    </cfRule>
  </conditionalFormatting>
  <conditionalFormatting sqref="G36">
    <cfRule type="iconSet" priority="169">
      <iconSet iconSet="3Flags" reverse="1">
        <cfvo type="percent" val="0"/>
        <cfvo type="formula" val="0"/>
        <cfvo type="formula" val="0" gte="0"/>
      </iconSet>
    </cfRule>
  </conditionalFormatting>
  <conditionalFormatting sqref="I36">
    <cfRule type="iconSet" priority="168">
      <iconSet iconSet="3Flags" reverse="1">
        <cfvo type="percent" val="0"/>
        <cfvo type="formula" val="1098"/>
        <cfvo type="formula" val="1220" gte="0"/>
      </iconSet>
    </cfRule>
  </conditionalFormatting>
  <conditionalFormatting sqref="K36">
    <cfRule type="iconSet" priority="167">
      <iconSet iconSet="3Flags" reverse="1">
        <cfvo type="percent" val="0"/>
        <cfvo type="formula" val="1071"/>
        <cfvo type="formula" val="1190" gte="0"/>
      </iconSet>
    </cfRule>
  </conditionalFormatting>
  <conditionalFormatting sqref="M36">
    <cfRule type="iconSet" priority="166">
      <iconSet iconSet="3Flags" reverse="1">
        <cfvo type="percent" val="0"/>
        <cfvo type="formula" val="1116"/>
        <cfvo type="formula" val="1240" gte="0"/>
      </iconSet>
    </cfRule>
  </conditionalFormatting>
  <conditionalFormatting sqref="E38">
    <cfRule type="iconSet" priority="165">
      <iconSet iconSet="3Flags" reverse="1">
        <cfvo type="percent" val="0"/>
        <cfvo type="formula" val="0"/>
        <cfvo type="formula" val="0" gte="0"/>
      </iconSet>
    </cfRule>
  </conditionalFormatting>
  <conditionalFormatting sqref="G38">
    <cfRule type="iconSet" priority="164">
      <iconSet iconSet="3Flags" reverse="1">
        <cfvo type="percent" val="0"/>
        <cfvo type="formula" val="0"/>
        <cfvo type="formula" val="0" gte="0"/>
      </iconSet>
    </cfRule>
  </conditionalFormatting>
  <conditionalFormatting sqref="G40">
    <cfRule type="iconSet" priority="163">
      <iconSet iconSet="3Flags" reverse="1">
        <cfvo type="percent" val="0"/>
        <cfvo type="formula" val="0"/>
        <cfvo type="formula" val="0" gte="0"/>
      </iconSet>
    </cfRule>
  </conditionalFormatting>
  <conditionalFormatting sqref="K40">
    <cfRule type="iconSet" priority="162">
      <iconSet iconSet="3Flags" reverse="1">
        <cfvo type="percent" val="0"/>
        <cfvo type="formula" val="0"/>
        <cfvo type="formula" val="0" gte="0"/>
      </iconSet>
    </cfRule>
  </conditionalFormatting>
  <conditionalFormatting sqref="G41">
    <cfRule type="iconSet" priority="161">
      <iconSet iconSet="3Flags" reverse="1">
        <cfvo type="percent" val="0"/>
        <cfvo type="formula" val="0"/>
        <cfvo type="formula" val="0" gte="0"/>
      </iconSet>
    </cfRule>
  </conditionalFormatting>
  <conditionalFormatting sqref="K41">
    <cfRule type="iconSet" priority="160">
      <iconSet iconSet="3Flags" reverse="1">
        <cfvo type="percent" val="0"/>
        <cfvo type="formula" val="0"/>
        <cfvo type="formula" val="0" gte="0"/>
      </iconSet>
    </cfRule>
  </conditionalFormatting>
  <conditionalFormatting sqref="E42">
    <cfRule type="iconSet" priority="159">
      <iconSet iconSet="3Flags" reverse="1">
        <cfvo type="percent" val="0"/>
        <cfvo type="formula" val="0"/>
        <cfvo type="formula" val="0" gte="0"/>
      </iconSet>
    </cfRule>
  </conditionalFormatting>
  <conditionalFormatting sqref="I42">
    <cfRule type="iconSet" priority="158">
      <iconSet iconSet="3Flags" reverse="1">
        <cfvo type="percent" val="0"/>
        <cfvo type="formula" val="162"/>
        <cfvo type="formula" val="180" gte="0"/>
      </iconSet>
    </cfRule>
  </conditionalFormatting>
  <conditionalFormatting sqref="K42">
    <cfRule type="iconSet" priority="157">
      <iconSet iconSet="3Flags" reverse="1">
        <cfvo type="percent" val="0"/>
        <cfvo type="formula" val="135"/>
        <cfvo type="formula" val="150" gte="0"/>
      </iconSet>
    </cfRule>
  </conditionalFormatting>
  <conditionalFormatting sqref="M42">
    <cfRule type="iconSet" priority="156">
      <iconSet iconSet="3Flags" reverse="1">
        <cfvo type="percent" val="0"/>
        <cfvo type="formula" val="180"/>
        <cfvo type="formula" val="200" gte="0"/>
      </iconSet>
    </cfRule>
  </conditionalFormatting>
  <conditionalFormatting sqref="E46">
    <cfRule type="iconSet" priority="155">
      <iconSet iconSet="3Flags" reverse="1">
        <cfvo type="percent" val="0"/>
        <cfvo type="formula" val="0"/>
        <cfvo type="formula" val="0" gte="0"/>
      </iconSet>
    </cfRule>
  </conditionalFormatting>
  <conditionalFormatting sqref="G46">
    <cfRule type="iconSet" priority="154">
      <iconSet iconSet="3Flags" reverse="1">
        <cfvo type="percent" val="0"/>
        <cfvo type="formula" val="0"/>
        <cfvo type="formula" val="0" gte="0"/>
      </iconSet>
    </cfRule>
  </conditionalFormatting>
  <conditionalFormatting sqref="I46">
    <cfRule type="iconSet" priority="153">
      <iconSet iconSet="3Flags" reverse="1">
        <cfvo type="percent" val="0"/>
        <cfvo type="formula" val="0"/>
        <cfvo type="formula" val="0" gte="0"/>
      </iconSet>
    </cfRule>
  </conditionalFormatting>
  <conditionalFormatting sqref="K46">
    <cfRule type="iconSet" priority="152">
      <iconSet iconSet="3Flags" reverse="1">
        <cfvo type="percent" val="0"/>
        <cfvo type="formula" val="0"/>
        <cfvo type="formula" val="0" gte="0"/>
      </iconSet>
    </cfRule>
  </conditionalFormatting>
  <conditionalFormatting sqref="E51">
    <cfRule type="iconSet" priority="151">
      <iconSet iconSet="3Flags" reverse="1">
        <cfvo type="percent" val="0"/>
        <cfvo type="formula" val="0"/>
        <cfvo type="formula" val="0" gte="0"/>
      </iconSet>
    </cfRule>
  </conditionalFormatting>
  <conditionalFormatting sqref="G51">
    <cfRule type="iconSet" priority="150">
      <iconSet iconSet="3Flags" reverse="1">
        <cfvo type="percent" val="0"/>
        <cfvo type="formula" val="0"/>
        <cfvo type="formula" val="0" gte="0"/>
      </iconSet>
    </cfRule>
  </conditionalFormatting>
  <conditionalFormatting sqref="I51">
    <cfRule type="iconSet" priority="149">
      <iconSet iconSet="3Flags" reverse="1">
        <cfvo type="percent" val="0"/>
        <cfvo type="formula" val="225"/>
        <cfvo type="formula" val="250" gte="0"/>
      </iconSet>
    </cfRule>
  </conditionalFormatting>
  <conditionalFormatting sqref="K51">
    <cfRule type="iconSet" priority="148">
      <iconSet iconSet="3Flags" reverse="1">
        <cfvo type="percent" val="0"/>
        <cfvo type="formula" val="225"/>
        <cfvo type="formula" val="250" gte="0"/>
      </iconSet>
    </cfRule>
  </conditionalFormatting>
  <conditionalFormatting sqref="M51">
    <cfRule type="iconSet" priority="147">
      <iconSet iconSet="3Flags" reverse="1">
        <cfvo type="percent" val="0"/>
        <cfvo type="formula" val="225"/>
        <cfvo type="formula" val="250" gte="0"/>
      </iconSet>
    </cfRule>
  </conditionalFormatting>
  <conditionalFormatting sqref="E52">
    <cfRule type="iconSet" priority="146">
      <iconSet iconSet="3Flags" reverse="1">
        <cfvo type="percent" val="0"/>
        <cfvo type="formula" val="0"/>
        <cfvo type="formula" val="0" gte="0"/>
      </iconSet>
    </cfRule>
  </conditionalFormatting>
  <conditionalFormatting sqref="G52">
    <cfRule type="iconSet" priority="145">
      <iconSet iconSet="3Flags" reverse="1">
        <cfvo type="percent" val="0"/>
        <cfvo type="formula" val="0"/>
        <cfvo type="formula" val="0" gte="0"/>
      </iconSet>
    </cfRule>
  </conditionalFormatting>
  <conditionalFormatting sqref="I52">
    <cfRule type="iconSet" priority="144">
      <iconSet iconSet="3Flags" reverse="1">
        <cfvo type="percent" val="0"/>
        <cfvo type="formula" val="711"/>
        <cfvo type="formula" val="790" gte="0"/>
      </iconSet>
    </cfRule>
  </conditionalFormatting>
  <conditionalFormatting sqref="K52">
    <cfRule type="iconSet" priority="143">
      <iconSet iconSet="3Flags" reverse="1">
        <cfvo type="percent" val="0"/>
        <cfvo type="formula" val="711"/>
        <cfvo type="formula" val="790" gte="0"/>
      </iconSet>
    </cfRule>
  </conditionalFormatting>
  <conditionalFormatting sqref="M52">
    <cfRule type="iconSet" priority="142">
      <iconSet iconSet="3Flags" reverse="1">
        <cfvo type="percent" val="0"/>
        <cfvo type="formula" val="711"/>
        <cfvo type="formula" val="790" gte="0"/>
      </iconSet>
    </cfRule>
  </conditionalFormatting>
  <conditionalFormatting sqref="K53">
    <cfRule type="iconSet" priority="141">
      <iconSet iconSet="3Flags" reverse="1">
        <cfvo type="percent" val="0"/>
        <cfvo type="formula" val="0"/>
        <cfvo type="formula" val="0" gte="0"/>
      </iconSet>
    </cfRule>
  </conditionalFormatting>
  <conditionalFormatting sqref="E55">
    <cfRule type="iconSet" priority="140">
      <iconSet iconSet="3Flags" reverse="1">
        <cfvo type="percent" val="0"/>
        <cfvo type="formula" val="0"/>
        <cfvo type="formula" val="0" gte="0"/>
      </iconSet>
    </cfRule>
  </conditionalFormatting>
  <conditionalFormatting sqref="K63">
    <cfRule type="iconSet" priority="139">
      <iconSet iconSet="3Flags" reverse="1">
        <cfvo type="percent" val="0"/>
        <cfvo type="formula" val="0"/>
        <cfvo type="formula" val="0" gte="0"/>
      </iconSet>
    </cfRule>
  </conditionalFormatting>
  <conditionalFormatting sqref="E69">
    <cfRule type="iconSet" priority="138">
      <iconSet iconSet="3Flags" reverse="1">
        <cfvo type="percent" val="0"/>
        <cfvo type="formula" val="0"/>
        <cfvo type="formula" val="0" gte="0"/>
      </iconSet>
    </cfRule>
  </conditionalFormatting>
  <conditionalFormatting sqref="G69">
    <cfRule type="iconSet" priority="137">
      <iconSet iconSet="3Flags" reverse="1">
        <cfvo type="percent" val="0"/>
        <cfvo type="formula" val="1233.252"/>
        <cfvo type="formula" val="1370.28" gte="0"/>
      </iconSet>
    </cfRule>
  </conditionalFormatting>
  <conditionalFormatting sqref="I69">
    <cfRule type="iconSet" priority="136">
      <iconSet iconSet="3Flags" reverse="1">
        <cfvo type="percent" val="0"/>
        <cfvo type="formula" val="4299.966"/>
        <cfvo type="formula" val="4777.74" gte="0"/>
      </iconSet>
    </cfRule>
  </conditionalFormatting>
  <conditionalFormatting sqref="K69">
    <cfRule type="iconSet" priority="135">
      <iconSet iconSet="3Flags" reverse="1">
        <cfvo type="percent" val="0"/>
        <cfvo type="formula" val="3762.009"/>
        <cfvo type="formula" val="4180.01" gte="0"/>
      </iconSet>
    </cfRule>
  </conditionalFormatting>
  <conditionalFormatting sqref="M69">
    <cfRule type="iconSet" priority="134">
      <iconSet iconSet="3Flags" reverse="1">
        <cfvo type="percent" val="0"/>
        <cfvo type="formula" val="1144.152"/>
        <cfvo type="formula" val="1271.28" gte="0"/>
      </iconSet>
    </cfRule>
  </conditionalFormatting>
  <conditionalFormatting sqref="O69">
    <cfRule type="iconSet" priority="133">
      <iconSet iconSet="3Flags" reverse="1">
        <cfvo type="percent" val="0"/>
        <cfvo type="formula" val="601.182"/>
        <cfvo type="formula" val="667.98" gte="0"/>
      </iconSet>
    </cfRule>
  </conditionalFormatting>
  <conditionalFormatting sqref="Q69">
    <cfRule type="iconSet" priority="132">
      <iconSet iconSet="3Flags" reverse="1">
        <cfvo type="percent" val="0"/>
        <cfvo type="formula" val="417.672"/>
        <cfvo type="formula" val="464.08" gte="0"/>
      </iconSet>
    </cfRule>
  </conditionalFormatting>
  <conditionalFormatting sqref="S69">
    <cfRule type="iconSet" priority="131">
      <iconSet iconSet="3Flags" reverse="1">
        <cfvo type="percent" val="0"/>
        <cfvo type="formula" val="356.922"/>
        <cfvo type="formula" val="396.58" gte="0"/>
      </iconSet>
    </cfRule>
  </conditionalFormatting>
  <conditionalFormatting sqref="U69">
    <cfRule type="iconSet" priority="130">
      <iconSet iconSet="3Flags" reverse="1">
        <cfvo type="percent" val="0"/>
        <cfvo type="formula" val="279.648"/>
        <cfvo type="formula" val="310.72" gte="0"/>
      </iconSet>
    </cfRule>
  </conditionalFormatting>
  <conditionalFormatting sqref="W69">
    <cfRule type="iconSet" priority="129">
      <iconSet iconSet="3Flags" reverse="1">
        <cfvo type="percent" val="0"/>
        <cfvo type="formula" val="279.648"/>
        <cfvo type="formula" val="310.72" gte="0"/>
      </iconSet>
    </cfRule>
  </conditionalFormatting>
  <conditionalFormatting sqref="Y69">
    <cfRule type="iconSet" priority="128">
      <iconSet iconSet="3Flags" reverse="1">
        <cfvo type="percent" val="0"/>
        <cfvo type="formula" val="208.17"/>
        <cfvo type="formula" val="231.3" gte="0"/>
      </iconSet>
    </cfRule>
  </conditionalFormatting>
  <conditionalFormatting sqref="E71">
    <cfRule type="iconSet" priority="127">
      <iconSet iconSet="3Flags" reverse="1">
        <cfvo type="percent" val="0"/>
        <cfvo type="formula" val="0"/>
        <cfvo type="formula" val="0" gte="0"/>
      </iconSet>
    </cfRule>
  </conditionalFormatting>
  <conditionalFormatting sqref="G71">
    <cfRule type="iconSet" priority="126">
      <iconSet iconSet="3Flags" reverse="1">
        <cfvo type="percent" val="0"/>
        <cfvo type="formula" val="0"/>
        <cfvo type="formula" val="0" gte="0"/>
      </iconSet>
    </cfRule>
  </conditionalFormatting>
  <conditionalFormatting sqref="I71">
    <cfRule type="iconSet" priority="125">
      <iconSet iconSet="3Flags" reverse="1">
        <cfvo type="percent" val="0"/>
        <cfvo type="formula" val="761.094"/>
        <cfvo type="formula" val="845.66" gte="0"/>
      </iconSet>
    </cfRule>
  </conditionalFormatting>
  <conditionalFormatting sqref="K71">
    <cfRule type="iconSet" priority="124">
      <iconSet iconSet="3Flags" reverse="1">
        <cfvo type="percent" val="0"/>
        <cfvo type="formula" val="477"/>
        <cfvo type="formula" val="530" gte="0"/>
      </iconSet>
    </cfRule>
  </conditionalFormatting>
  <conditionalFormatting sqref="M71">
    <cfRule type="iconSet" priority="123">
      <iconSet iconSet="3Flags" reverse="1">
        <cfvo type="percent" val="0"/>
        <cfvo type="formula" val="686.502"/>
        <cfvo type="formula" val="762.78" gte="0"/>
      </iconSet>
    </cfRule>
  </conditionalFormatting>
  <conditionalFormatting sqref="O71">
    <cfRule type="iconSet" priority="122">
      <iconSet iconSet="3Flags" reverse="1">
        <cfvo type="percent" val="0"/>
        <cfvo type="formula" val="260.784"/>
        <cfvo type="formula" val="289.76" gte="0"/>
      </iconSet>
    </cfRule>
  </conditionalFormatting>
  <conditionalFormatting sqref="Q71">
    <cfRule type="iconSet" priority="121">
      <iconSet iconSet="3Flags" reverse="1">
        <cfvo type="percent" val="0"/>
        <cfvo type="formula" val="77.274"/>
        <cfvo type="formula" val="85.86" gte="0"/>
      </iconSet>
    </cfRule>
  </conditionalFormatting>
  <conditionalFormatting sqref="S71">
    <cfRule type="iconSet" priority="120">
      <iconSet iconSet="3Flags" reverse="1">
        <cfvo type="percent" val="0"/>
        <cfvo type="formula" val="77.274"/>
        <cfvo type="formula" val="85.86" gte="0"/>
      </iconSet>
    </cfRule>
  </conditionalFormatting>
  <conditionalFormatting sqref="E72">
    <cfRule type="iconSet" priority="119">
      <iconSet iconSet="3Flags" reverse="1">
        <cfvo type="percent" val="0"/>
        <cfvo type="formula" val="0"/>
        <cfvo type="formula" val="0" gte="0"/>
      </iconSet>
    </cfRule>
  </conditionalFormatting>
  <conditionalFormatting sqref="G72">
    <cfRule type="iconSet" priority="118">
      <iconSet iconSet="3Flags" reverse="1">
        <cfvo type="percent" val="0"/>
        <cfvo type="formula" val="0"/>
        <cfvo type="formula" val="0" gte="0"/>
      </iconSet>
    </cfRule>
  </conditionalFormatting>
  <conditionalFormatting sqref="I72">
    <cfRule type="iconSet" priority="117">
      <iconSet iconSet="3Flags" reverse="1">
        <cfvo type="percent" val="0"/>
        <cfvo type="formula" val="810"/>
        <cfvo type="formula" val="900" gte="0"/>
      </iconSet>
    </cfRule>
  </conditionalFormatting>
  <conditionalFormatting sqref="K72">
    <cfRule type="iconSet" priority="116">
      <iconSet iconSet="3Flags" reverse="1">
        <cfvo type="percent" val="0"/>
        <cfvo type="formula" val="900"/>
        <cfvo type="formula" val="1000" gte="0"/>
      </iconSet>
    </cfRule>
  </conditionalFormatting>
  <conditionalFormatting sqref="E73">
    <cfRule type="iconSet" priority="115">
      <iconSet iconSet="3Flags" reverse="1">
        <cfvo type="percent" val="0"/>
        <cfvo type="formula" val="0"/>
        <cfvo type="formula" val="0" gte="0"/>
      </iconSet>
    </cfRule>
  </conditionalFormatting>
  <conditionalFormatting sqref="G73">
    <cfRule type="iconSet" priority="114">
      <iconSet iconSet="3Flags" reverse="1">
        <cfvo type="percent" val="0"/>
        <cfvo type="formula" val="0"/>
        <cfvo type="formula" val="0" gte="0"/>
      </iconSet>
    </cfRule>
  </conditionalFormatting>
  <conditionalFormatting sqref="I73">
    <cfRule type="iconSet" priority="113">
      <iconSet iconSet="3Flags" reverse="1">
        <cfvo type="percent" val="0"/>
        <cfvo type="formula" val="574.38"/>
        <cfvo type="formula" val="638.2" gte="0"/>
      </iconSet>
    </cfRule>
  </conditionalFormatting>
  <conditionalFormatting sqref="K73">
    <cfRule type="iconSet" priority="112">
      <iconSet iconSet="3Flags" reverse="1">
        <cfvo type="percent" val="0"/>
        <cfvo type="formula" val="450"/>
        <cfvo type="formula" val="500" gte="0"/>
      </iconSet>
    </cfRule>
  </conditionalFormatting>
  <conditionalFormatting sqref="E74">
    <cfRule type="iconSet" priority="111">
      <iconSet iconSet="3Flags" reverse="1">
        <cfvo type="percent" val="0"/>
        <cfvo type="formula" val="0"/>
        <cfvo type="formula" val="0" gte="0"/>
      </iconSet>
    </cfRule>
  </conditionalFormatting>
  <conditionalFormatting sqref="G74">
    <cfRule type="iconSet" priority="110">
      <iconSet iconSet="3Flags" reverse="1">
        <cfvo type="percent" val="0"/>
        <cfvo type="formula" val="0"/>
        <cfvo type="formula" val="0" gte="0"/>
      </iconSet>
    </cfRule>
  </conditionalFormatting>
  <conditionalFormatting sqref="K74">
    <cfRule type="iconSet" priority="109">
      <iconSet iconSet="3Flags" reverse="1">
        <cfvo type="percent" val="0"/>
        <cfvo type="formula" val="0"/>
        <cfvo type="formula" val="0" gte="0"/>
      </iconSet>
    </cfRule>
  </conditionalFormatting>
  <conditionalFormatting sqref="E75">
    <cfRule type="iconSet" priority="108">
      <iconSet iconSet="3Flags" reverse="1">
        <cfvo type="percent" val="0"/>
        <cfvo type="formula" val="0"/>
        <cfvo type="formula" val="0" gte="0"/>
      </iconSet>
    </cfRule>
  </conditionalFormatting>
  <conditionalFormatting sqref="G75">
    <cfRule type="iconSet" priority="107">
      <iconSet iconSet="3Flags" reverse="1">
        <cfvo type="percent" val="0"/>
        <cfvo type="formula" val="101.394"/>
        <cfvo type="formula" val="112.66" gte="0"/>
      </iconSet>
    </cfRule>
  </conditionalFormatting>
  <conditionalFormatting sqref="I75">
    <cfRule type="iconSet" priority="106">
      <iconSet iconSet="3Flags" reverse="1">
        <cfvo type="percent" val="0"/>
        <cfvo type="formula" val="103.383"/>
        <cfvo type="formula" val="114.87" gte="0"/>
      </iconSet>
    </cfRule>
  </conditionalFormatting>
  <conditionalFormatting sqref="K75">
    <cfRule type="iconSet" priority="105">
      <iconSet iconSet="3Flags" reverse="1">
        <cfvo type="percent" val="0"/>
        <cfvo type="formula" val="90"/>
        <cfvo type="formula" val="100" gte="0"/>
      </iconSet>
    </cfRule>
  </conditionalFormatting>
  <conditionalFormatting sqref="E76">
    <cfRule type="iconSet" priority="104">
      <iconSet iconSet="3Flags" reverse="1">
        <cfvo type="percent" val="0"/>
        <cfvo type="formula" val="0"/>
        <cfvo type="formula" val="0" gte="0"/>
      </iconSet>
    </cfRule>
  </conditionalFormatting>
  <conditionalFormatting sqref="G76">
    <cfRule type="iconSet" priority="103">
      <iconSet iconSet="3Flags" reverse="1">
        <cfvo type="percent" val="0"/>
        <cfvo type="formula" val="0"/>
        <cfvo type="formula" val="0" gte="0"/>
      </iconSet>
    </cfRule>
  </conditionalFormatting>
  <conditionalFormatting sqref="K76">
    <cfRule type="iconSet" priority="102">
      <iconSet iconSet="3Flags" reverse="1">
        <cfvo type="percent" val="0"/>
        <cfvo type="formula" val="81"/>
        <cfvo type="formula" val="90" gte="0"/>
      </iconSet>
    </cfRule>
  </conditionalFormatting>
  <conditionalFormatting sqref="K77">
    <cfRule type="iconSet" priority="101">
      <iconSet iconSet="3Flags" reverse="1">
        <cfvo type="percent" val="0"/>
        <cfvo type="formula" val="0"/>
        <cfvo type="formula" val="0" gte="0"/>
      </iconSet>
    </cfRule>
  </conditionalFormatting>
  <conditionalFormatting sqref="E78">
    <cfRule type="iconSet" priority="100">
      <iconSet iconSet="3Flags" reverse="1">
        <cfvo type="percent" val="0"/>
        <cfvo type="formula" val="0"/>
        <cfvo type="formula" val="0" gte="0"/>
      </iconSet>
    </cfRule>
  </conditionalFormatting>
  <conditionalFormatting sqref="I78">
    <cfRule type="iconSet" priority="99">
      <iconSet iconSet="3Flags" reverse="1">
        <cfvo type="percent" val="0"/>
        <cfvo type="formula" val="0"/>
        <cfvo type="formula" val="0" gte="0"/>
      </iconSet>
    </cfRule>
  </conditionalFormatting>
  <conditionalFormatting sqref="K78">
    <cfRule type="iconSet" priority="98">
      <iconSet iconSet="3Flags" reverse="1">
        <cfvo type="percent" val="0"/>
        <cfvo type="formula" val="135"/>
        <cfvo type="formula" val="150" gte="0"/>
      </iconSet>
    </cfRule>
  </conditionalFormatting>
  <conditionalFormatting sqref="E79">
    <cfRule type="iconSet" priority="97">
      <iconSet iconSet="3Flags" reverse="1">
        <cfvo type="percent" val="0"/>
        <cfvo type="formula" val="0"/>
        <cfvo type="formula" val="0" gte="0"/>
      </iconSet>
    </cfRule>
  </conditionalFormatting>
  <conditionalFormatting sqref="G79">
    <cfRule type="iconSet" priority="96">
      <iconSet iconSet="3Flags" reverse="1">
        <cfvo type="percent" val="0"/>
        <cfvo type="formula" val="392.922"/>
        <cfvo type="formula" val="436.58" gte="0"/>
      </iconSet>
    </cfRule>
  </conditionalFormatting>
  <conditionalFormatting sqref="I79">
    <cfRule type="iconSet" priority="95">
      <iconSet iconSet="3Flags" reverse="1">
        <cfvo type="percent" val="0"/>
        <cfvo type="formula" val="753.003"/>
        <cfvo type="formula" val="836.67" gte="0"/>
      </iconSet>
    </cfRule>
  </conditionalFormatting>
  <conditionalFormatting sqref="K79">
    <cfRule type="iconSet" priority="94">
      <iconSet iconSet="3Flags" reverse="1">
        <cfvo type="percent" val="0"/>
        <cfvo type="formula" val="232.488"/>
        <cfvo type="formula" val="258.32" gte="0"/>
      </iconSet>
    </cfRule>
  </conditionalFormatting>
  <conditionalFormatting sqref="M79">
    <cfRule type="iconSet" priority="93">
      <iconSet iconSet="3Flags" reverse="1">
        <cfvo type="percent" val="0"/>
        <cfvo type="formula" val="232.488"/>
        <cfvo type="formula" val="258.32" gte="0"/>
      </iconSet>
    </cfRule>
  </conditionalFormatting>
  <conditionalFormatting sqref="O79">
    <cfRule type="iconSet" priority="92">
      <iconSet iconSet="3Flags" reverse="1">
        <cfvo type="percent" val="0"/>
        <cfvo type="formula" val="232.488"/>
        <cfvo type="formula" val="258.32" gte="0"/>
      </iconSet>
    </cfRule>
  </conditionalFormatting>
  <conditionalFormatting sqref="Q79">
    <cfRule type="iconSet" priority="91">
      <iconSet iconSet="3Flags" reverse="1">
        <cfvo type="percent" val="0"/>
        <cfvo type="formula" val="232.488"/>
        <cfvo type="formula" val="258.32" gte="0"/>
      </iconSet>
    </cfRule>
  </conditionalFormatting>
  <conditionalFormatting sqref="S79">
    <cfRule type="iconSet" priority="90">
      <iconSet iconSet="3Flags" reverse="1">
        <cfvo type="percent" val="0"/>
        <cfvo type="formula" val="232.488"/>
        <cfvo type="formula" val="258.32" gte="0"/>
      </iconSet>
    </cfRule>
  </conditionalFormatting>
  <conditionalFormatting sqref="U79">
    <cfRule type="iconSet" priority="89">
      <iconSet iconSet="3Flags" reverse="1">
        <cfvo type="percent" val="0"/>
        <cfvo type="formula" val="232.488"/>
        <cfvo type="formula" val="258.32" gte="0"/>
      </iconSet>
    </cfRule>
  </conditionalFormatting>
  <conditionalFormatting sqref="W79">
    <cfRule type="iconSet" priority="88">
      <iconSet iconSet="3Flags" reverse="1">
        <cfvo type="percent" val="0"/>
        <cfvo type="formula" val="232.488"/>
        <cfvo type="formula" val="258.32" gte="0"/>
      </iconSet>
    </cfRule>
  </conditionalFormatting>
  <conditionalFormatting sqref="Y79">
    <cfRule type="iconSet" priority="87">
      <iconSet iconSet="3Flags" reverse="1">
        <cfvo type="percent" val="0"/>
        <cfvo type="formula" val="161.01"/>
        <cfvo type="formula" val="178.9" gte="0"/>
      </iconSet>
    </cfRule>
  </conditionalFormatting>
  <conditionalFormatting sqref="E80">
    <cfRule type="iconSet" priority="86">
      <iconSet iconSet="3Flags" reverse="1">
        <cfvo type="percent" val="0"/>
        <cfvo type="formula" val="0"/>
        <cfvo type="formula" val="0" gte="0"/>
      </iconSet>
    </cfRule>
  </conditionalFormatting>
  <conditionalFormatting sqref="G80">
    <cfRule type="iconSet" priority="85">
      <iconSet iconSet="3Flags" reverse="1">
        <cfvo type="percent" val="0"/>
        <cfvo type="formula" val="0"/>
        <cfvo type="formula" val="0" gte="0"/>
      </iconSet>
    </cfRule>
  </conditionalFormatting>
  <conditionalFormatting sqref="I80">
    <cfRule type="iconSet" priority="84">
      <iconSet iconSet="3Flags" reverse="1">
        <cfvo type="percent" val="0"/>
        <cfvo type="formula" val="402.075"/>
        <cfvo type="formula" val="446.75" gte="0"/>
      </iconSet>
    </cfRule>
  </conditionalFormatting>
  <conditionalFormatting sqref="K80">
    <cfRule type="iconSet" priority="83">
      <iconSet iconSet="3Flags" reverse="1">
        <cfvo type="percent" val="0"/>
        <cfvo type="formula" val="405"/>
        <cfvo type="formula" val="450" gte="0"/>
      </iconSet>
    </cfRule>
  </conditionalFormatting>
  <conditionalFormatting sqref="E81">
    <cfRule type="iconSet" priority="82">
      <iconSet iconSet="3Flags" reverse="1">
        <cfvo type="percent" val="0"/>
        <cfvo type="formula" val="0"/>
        <cfvo type="formula" val="0" gte="0"/>
      </iconSet>
    </cfRule>
  </conditionalFormatting>
  <conditionalFormatting sqref="G81">
    <cfRule type="iconSet" priority="81">
      <iconSet iconSet="3Flags" reverse="1">
        <cfvo type="percent" val="0"/>
        <cfvo type="formula" val="0"/>
        <cfvo type="formula" val="0" gte="0"/>
      </iconSet>
    </cfRule>
  </conditionalFormatting>
  <conditionalFormatting sqref="I81">
    <cfRule type="iconSet" priority="80">
      <iconSet iconSet="3Flags" reverse="1">
        <cfvo type="percent" val="0"/>
        <cfvo type="formula" val="0"/>
        <cfvo type="formula" val="0" gte="0"/>
      </iconSet>
    </cfRule>
  </conditionalFormatting>
  <conditionalFormatting sqref="K81">
    <cfRule type="iconSet" priority="79">
      <iconSet iconSet="3Flags" reverse="1">
        <cfvo type="percent" val="0"/>
        <cfvo type="formula" val="36"/>
        <cfvo type="formula" val="40" gte="0"/>
      </iconSet>
    </cfRule>
  </conditionalFormatting>
  <conditionalFormatting sqref="M81">
    <cfRule type="iconSet" priority="78">
      <iconSet iconSet="3Flags" reverse="1">
        <cfvo type="percent" val="0"/>
        <cfvo type="formula" val="40.752"/>
        <cfvo type="formula" val="45.28" gte="0"/>
      </iconSet>
    </cfRule>
  </conditionalFormatting>
  <conditionalFormatting sqref="E82">
    <cfRule type="iconSet" priority="77">
      <iconSet iconSet="3Flags" reverse="1">
        <cfvo type="percent" val="0"/>
        <cfvo type="formula" val="0"/>
        <cfvo type="formula" val="0" gte="0"/>
      </iconSet>
    </cfRule>
  </conditionalFormatting>
  <conditionalFormatting sqref="G82">
    <cfRule type="iconSet" priority="76">
      <iconSet iconSet="3Flags" reverse="1">
        <cfvo type="percent" val="0"/>
        <cfvo type="formula" val="0"/>
        <cfvo type="formula" val="0" gte="0"/>
      </iconSet>
    </cfRule>
  </conditionalFormatting>
  <conditionalFormatting sqref="K82">
    <cfRule type="iconSet" priority="75">
      <iconSet iconSet="3Flags" reverse="1">
        <cfvo type="percent" val="0"/>
        <cfvo type="formula" val="45"/>
        <cfvo type="formula" val="50" gte="0"/>
      </iconSet>
    </cfRule>
  </conditionalFormatting>
  <conditionalFormatting sqref="E83">
    <cfRule type="iconSet" priority="74">
      <iconSet iconSet="3Flags" reverse="1">
        <cfvo type="percent" val="0"/>
        <cfvo type="formula" val="0"/>
        <cfvo type="formula" val="0" gte="0"/>
      </iconSet>
    </cfRule>
  </conditionalFormatting>
  <conditionalFormatting sqref="G83">
    <cfRule type="iconSet" priority="73">
      <iconSet iconSet="3Flags" reverse="1">
        <cfvo type="percent" val="0"/>
        <cfvo type="formula" val="254.466"/>
        <cfvo type="formula" val="282.74" gte="0"/>
      </iconSet>
    </cfRule>
  </conditionalFormatting>
  <conditionalFormatting sqref="I83">
    <cfRule type="iconSet" priority="72">
      <iconSet iconSet="3Flags" reverse="1">
        <cfvo type="percent" val="0"/>
        <cfvo type="formula" val="535.311"/>
        <cfvo type="formula" val="594.79" gte="0"/>
      </iconSet>
    </cfRule>
  </conditionalFormatting>
  <conditionalFormatting sqref="K83">
    <cfRule type="iconSet" priority="71">
      <iconSet iconSet="3Flags" reverse="1">
        <cfvo type="percent" val="0"/>
        <cfvo type="formula" val="535.311"/>
        <cfvo type="formula" val="594.79" gte="0"/>
      </iconSet>
    </cfRule>
  </conditionalFormatting>
  <conditionalFormatting sqref="E84">
    <cfRule type="iconSet" priority="70">
      <iconSet iconSet="3Flags" reverse="1">
        <cfvo type="percent" val="0"/>
        <cfvo type="formula" val="0"/>
        <cfvo type="formula" val="0" gte="0"/>
      </iconSet>
    </cfRule>
  </conditionalFormatting>
  <conditionalFormatting sqref="G84">
    <cfRule type="iconSet" priority="69">
      <iconSet iconSet="3Flags" reverse="1">
        <cfvo type="percent" val="0"/>
        <cfvo type="formula" val="105.57"/>
        <cfvo type="formula" val="117.3" gte="0"/>
      </iconSet>
    </cfRule>
  </conditionalFormatting>
  <conditionalFormatting sqref="I84">
    <cfRule type="iconSet" priority="68">
      <iconSet iconSet="3Flags" reverse="1">
        <cfvo type="percent" val="0"/>
        <cfvo type="formula" val="105.57"/>
        <cfvo type="formula" val="117.3" gte="0"/>
      </iconSet>
    </cfRule>
  </conditionalFormatting>
  <conditionalFormatting sqref="K84">
    <cfRule type="iconSet" priority="67">
      <iconSet iconSet="3Flags" reverse="1">
        <cfvo type="percent" val="0"/>
        <cfvo type="formula" val="109.26"/>
        <cfvo type="formula" val="121.4" gte="0"/>
      </iconSet>
    </cfRule>
  </conditionalFormatting>
  <conditionalFormatting sqref="M84">
    <cfRule type="iconSet" priority="66">
      <iconSet iconSet="3Flags" reverse="1">
        <cfvo type="percent" val="0"/>
        <cfvo type="formula" val="123.66"/>
        <cfvo type="formula" val="137.4" gte="0"/>
      </iconSet>
    </cfRule>
  </conditionalFormatting>
  <conditionalFormatting sqref="O84">
    <cfRule type="iconSet" priority="65">
      <iconSet iconSet="3Flags" reverse="1">
        <cfvo type="percent" val="0"/>
        <cfvo type="formula" val="47.16"/>
        <cfvo type="formula" val="52.4" gte="0"/>
      </iconSet>
    </cfRule>
  </conditionalFormatting>
  <conditionalFormatting sqref="Q84">
    <cfRule type="iconSet" priority="64">
      <iconSet iconSet="3Flags" reverse="1">
        <cfvo type="percent" val="0"/>
        <cfvo type="formula" val="47.16"/>
        <cfvo type="formula" val="52.4" gte="0"/>
      </iconSet>
    </cfRule>
  </conditionalFormatting>
  <conditionalFormatting sqref="S84">
    <cfRule type="iconSet" priority="63">
      <iconSet iconSet="3Flags" reverse="1">
        <cfvo type="percent" val="0"/>
        <cfvo type="formula" val="47.16"/>
        <cfvo type="formula" val="52.4" gte="0"/>
      </iconSet>
    </cfRule>
  </conditionalFormatting>
  <conditionalFormatting sqref="U84">
    <cfRule type="iconSet" priority="62">
      <iconSet iconSet="3Flags" reverse="1">
        <cfvo type="percent" val="0"/>
        <cfvo type="formula" val="47.16"/>
        <cfvo type="formula" val="52.4" gte="0"/>
      </iconSet>
    </cfRule>
  </conditionalFormatting>
  <conditionalFormatting sqref="W84">
    <cfRule type="iconSet" priority="61">
      <iconSet iconSet="3Flags" reverse="1">
        <cfvo type="percent" val="0"/>
        <cfvo type="formula" val="47.16"/>
        <cfvo type="formula" val="52.4" gte="0"/>
      </iconSet>
    </cfRule>
  </conditionalFormatting>
  <conditionalFormatting sqref="Y84">
    <cfRule type="iconSet" priority="60">
      <iconSet iconSet="3Flags" reverse="1">
        <cfvo type="percent" val="0"/>
        <cfvo type="formula" val="47.16"/>
        <cfvo type="formula" val="52.4" gte="0"/>
      </iconSet>
    </cfRule>
  </conditionalFormatting>
  <conditionalFormatting sqref="E86">
    <cfRule type="iconSet" priority="59">
      <iconSet iconSet="3Flags" reverse="1">
        <cfvo type="percent" val="0"/>
        <cfvo type="formula" val="0"/>
        <cfvo type="formula" val="0" gte="0"/>
      </iconSet>
    </cfRule>
  </conditionalFormatting>
  <conditionalFormatting sqref="G86">
    <cfRule type="iconSet" priority="58">
      <iconSet iconSet="3Flags" reverse="1">
        <cfvo type="percent" val="0"/>
        <cfvo type="formula" val="0"/>
        <cfvo type="formula" val="0" gte="0"/>
      </iconSet>
    </cfRule>
  </conditionalFormatting>
  <conditionalFormatting sqref="I86">
    <cfRule type="iconSet" priority="57">
      <iconSet iconSet="3Flags" reverse="1">
        <cfvo type="percent" val="0"/>
        <cfvo type="formula" val="32.4"/>
        <cfvo type="formula" val="36" gte="0"/>
      </iconSet>
    </cfRule>
  </conditionalFormatting>
  <conditionalFormatting sqref="K86">
    <cfRule type="iconSet" priority="56">
      <iconSet iconSet="3Flags" reverse="1">
        <cfvo type="percent" val="0"/>
        <cfvo type="formula" val="43.2"/>
        <cfvo type="formula" val="48" gte="0"/>
      </iconSet>
    </cfRule>
  </conditionalFormatting>
  <conditionalFormatting sqref="E94">
    <cfRule type="iconSet" priority="55">
      <iconSet iconSet="3Flags" reverse="1">
        <cfvo type="percent" val="0"/>
        <cfvo type="formula" val="0"/>
        <cfvo type="formula" val="0" gte="0"/>
      </iconSet>
    </cfRule>
  </conditionalFormatting>
  <conditionalFormatting sqref="G94">
    <cfRule type="iconSet" priority="54">
      <iconSet iconSet="3Flags" reverse="1">
        <cfvo type="percent" val="0"/>
        <cfvo type="formula" val="60.75"/>
        <cfvo type="formula" val="67.5" gte="0"/>
      </iconSet>
    </cfRule>
  </conditionalFormatting>
  <conditionalFormatting sqref="I94">
    <cfRule type="iconSet" priority="53">
      <iconSet iconSet="3Flags" reverse="1">
        <cfvo type="percent" val="0"/>
        <cfvo type="formula" val="222.75"/>
        <cfvo type="formula" val="247.5" gte="0"/>
      </iconSet>
    </cfRule>
  </conditionalFormatting>
  <conditionalFormatting sqref="K94">
    <cfRule type="iconSet" priority="52">
      <iconSet iconSet="3Flags" reverse="1">
        <cfvo type="percent" val="0"/>
        <cfvo type="formula" val="222.75"/>
        <cfvo type="formula" val="247.5" gte="0"/>
      </iconSet>
    </cfRule>
  </conditionalFormatting>
  <conditionalFormatting sqref="M94">
    <cfRule type="iconSet" priority="51">
      <iconSet iconSet="3Flags" reverse="1">
        <cfvo type="percent" val="0"/>
        <cfvo type="formula" val="60.75"/>
        <cfvo type="formula" val="67.5" gte="0"/>
      </iconSet>
    </cfRule>
  </conditionalFormatting>
  <conditionalFormatting sqref="O94">
    <cfRule type="iconSet" priority="50">
      <iconSet iconSet="3Flags" reverse="1">
        <cfvo type="percent" val="0"/>
        <cfvo type="formula" val="60.75"/>
        <cfvo type="formula" val="67.5" gte="0"/>
      </iconSet>
    </cfRule>
  </conditionalFormatting>
  <conditionalFormatting sqref="Q94">
    <cfRule type="iconSet" priority="49">
      <iconSet iconSet="3Flags" reverse="1">
        <cfvo type="percent" val="0"/>
        <cfvo type="formula" val="60.75"/>
        <cfvo type="formula" val="67.5" gte="0"/>
      </iconSet>
    </cfRule>
  </conditionalFormatting>
  <conditionalFormatting sqref="E97">
    <cfRule type="iconSet" priority="48">
      <iconSet iconSet="3Flags" reverse="1">
        <cfvo type="percent" val="0"/>
        <cfvo type="formula" val="0"/>
        <cfvo type="formula" val="0" gte="0"/>
      </iconSet>
    </cfRule>
  </conditionalFormatting>
  <conditionalFormatting sqref="G97">
    <cfRule type="iconSet" priority="47">
      <iconSet iconSet="3Flags" reverse="1">
        <cfvo type="percent" val="0"/>
        <cfvo type="formula" val="318.15"/>
        <cfvo type="formula" val="353.5" gte="0"/>
      </iconSet>
    </cfRule>
  </conditionalFormatting>
  <conditionalFormatting sqref="E124">
    <cfRule type="iconSet" priority="46">
      <iconSet iconSet="3Flags" reverse="1">
        <cfvo type="percent" val="0"/>
        <cfvo type="formula" val="0"/>
        <cfvo type="formula" val="0" gte="0"/>
      </iconSet>
    </cfRule>
  </conditionalFormatting>
  <conditionalFormatting sqref="G124">
    <cfRule type="iconSet" priority="45">
      <iconSet iconSet="3Flags" reverse="1">
        <cfvo type="percent" val="0"/>
        <cfvo type="formula" val="1233.252"/>
        <cfvo type="formula" val="1370.28" gte="0"/>
      </iconSet>
    </cfRule>
  </conditionalFormatting>
  <conditionalFormatting sqref="I124">
    <cfRule type="iconSet" priority="44">
      <iconSet iconSet="3Flags" reverse="1">
        <cfvo type="percent" val="0"/>
        <cfvo type="formula" val="10899.909"/>
        <cfvo type="formula" val="12111.01" gte="0"/>
      </iconSet>
    </cfRule>
  </conditionalFormatting>
  <conditionalFormatting sqref="K124">
    <cfRule type="iconSet" priority="43">
      <iconSet iconSet="3Flags" reverse="1">
        <cfvo type="percent" val="0"/>
        <cfvo type="formula" val="10241.352"/>
        <cfvo type="formula" val="11379.28" gte="0"/>
      </iconSet>
    </cfRule>
  </conditionalFormatting>
  <conditionalFormatting sqref="M124">
    <cfRule type="iconSet" priority="42">
      <iconSet iconSet="3Flags" reverse="1">
        <cfvo type="percent" val="0"/>
        <cfvo type="formula" val="7632.495"/>
        <cfvo type="formula" val="8480.55" gte="0"/>
      </iconSet>
    </cfRule>
  </conditionalFormatting>
  <conditionalFormatting sqref="O124">
    <cfRule type="iconSet" priority="41">
      <iconSet iconSet="3Flags" reverse="1">
        <cfvo type="percent" val="0"/>
        <cfvo type="formula" val="601.182"/>
        <cfvo type="formula" val="667.98" gte="0"/>
      </iconSet>
    </cfRule>
  </conditionalFormatting>
  <conditionalFormatting sqref="Q124">
    <cfRule type="iconSet" priority="40">
      <iconSet iconSet="3Flags" reverse="1">
        <cfvo type="percent" val="0"/>
        <cfvo type="formula" val="417.672"/>
        <cfvo type="formula" val="464.08" gte="0"/>
      </iconSet>
    </cfRule>
  </conditionalFormatting>
  <conditionalFormatting sqref="S124">
    <cfRule type="iconSet" priority="39">
      <iconSet iconSet="3Flags" reverse="1">
        <cfvo type="percent" val="0"/>
        <cfvo type="formula" val="356.922"/>
        <cfvo type="formula" val="396.58" gte="0"/>
      </iconSet>
    </cfRule>
  </conditionalFormatting>
  <conditionalFormatting sqref="U124">
    <cfRule type="iconSet" priority="38">
      <iconSet iconSet="3Flags" reverse="1">
        <cfvo type="percent" val="0"/>
        <cfvo type="formula" val="279.648"/>
        <cfvo type="formula" val="310.72" gte="0"/>
      </iconSet>
    </cfRule>
  </conditionalFormatting>
  <conditionalFormatting sqref="W124">
    <cfRule type="iconSet" priority="37">
      <iconSet iconSet="3Flags" reverse="1">
        <cfvo type="percent" val="0"/>
        <cfvo type="formula" val="279.648"/>
        <cfvo type="formula" val="310.72" gte="0"/>
      </iconSet>
    </cfRule>
  </conditionalFormatting>
  <conditionalFormatting sqref="Y124">
    <cfRule type="iconSet" priority="36">
      <iconSet iconSet="3Flags" reverse="1">
        <cfvo type="percent" val="0"/>
        <cfvo type="formula" val="208.17"/>
        <cfvo type="formula" val="231.3" gte="0"/>
      </iconSet>
    </cfRule>
  </conditionalFormatting>
  <conditionalFormatting sqref="E126">
    <cfRule type="iconSet" priority="35">
      <iconSet iconSet="3Flags" reverse="1">
        <cfvo type="percent" val="0"/>
        <cfvo type="formula" val="12730.095"/>
        <cfvo type="formula" val="14144.55" gte="0"/>
      </iconSet>
    </cfRule>
  </conditionalFormatting>
  <conditionalFormatting sqref="G126">
    <cfRule type="iconSet" priority="34">
      <iconSet iconSet="3Flags" reverse="1">
        <cfvo type="percent" val="0"/>
        <cfvo type="formula" val="18972.63"/>
        <cfvo type="formula" val="21080.7" gte="0"/>
      </iconSet>
    </cfRule>
  </conditionalFormatting>
  <conditionalFormatting sqref="I126">
    <cfRule type="iconSet" priority="33">
      <iconSet iconSet="3Flags" reverse="1">
        <cfvo type="percent" val="0"/>
        <cfvo type="formula" val="1786.608"/>
        <cfvo type="formula" val="1985.12" gte="0"/>
      </iconSet>
    </cfRule>
  </conditionalFormatting>
  <conditionalFormatting sqref="K126">
    <cfRule type="iconSet" priority="32">
      <iconSet iconSet="3Flags" reverse="1">
        <cfvo type="percent" val="0"/>
        <cfvo type="formula" val="2227.833"/>
        <cfvo type="formula" val="2475.37" gte="0"/>
      </iconSet>
    </cfRule>
  </conditionalFormatting>
  <conditionalFormatting sqref="M126">
    <cfRule type="iconSet" priority="31">
      <iconSet iconSet="3Flags" reverse="1">
        <cfvo type="percent" val="0"/>
        <cfvo type="formula" val="4825.5036"/>
        <cfvo type="formula" val="5361.6707" gte="0"/>
      </iconSet>
    </cfRule>
  </conditionalFormatting>
  <conditionalFormatting sqref="O126">
    <cfRule type="iconSet" priority="30">
      <iconSet iconSet="3Flags" reverse="1">
        <cfvo type="percent" val="0"/>
        <cfvo type="formula" val="11855.9166"/>
        <cfvo type="formula" val="13173.2407" gte="0"/>
      </iconSet>
    </cfRule>
  </conditionalFormatting>
  <conditionalFormatting sqref="Q126">
    <cfRule type="iconSet" priority="29">
      <iconSet iconSet="3Flags" reverse="1">
        <cfvo type="percent" val="0"/>
        <cfvo type="formula" val="12038.5266"/>
        <cfvo type="formula" val="13376.1407" gte="0"/>
      </iconSet>
    </cfRule>
  </conditionalFormatting>
  <conditionalFormatting sqref="S126">
    <cfRule type="iconSet" priority="28">
      <iconSet iconSet="3Flags" reverse="1">
        <cfvo type="percent" val="0"/>
        <cfvo type="formula" val="12098.3766"/>
        <cfvo type="formula" val="13442.6407" gte="0"/>
      </iconSet>
    </cfRule>
  </conditionalFormatting>
  <conditionalFormatting sqref="U126">
    <cfRule type="iconSet" priority="27">
      <iconSet iconSet="3Flags" reverse="1">
        <cfvo type="percent" val="0"/>
        <cfvo type="formula" val="12175.6506"/>
        <cfvo type="formula" val="13528.5007" gte="0"/>
      </iconSet>
    </cfRule>
  </conditionalFormatting>
  <conditionalFormatting sqref="W126">
    <cfRule type="iconSet" priority="26">
      <iconSet iconSet="3Flags" reverse="1">
        <cfvo type="percent" val="0"/>
        <cfvo type="formula" val="12175.6506"/>
        <cfvo type="formula" val="13528.5007" gte="0"/>
      </iconSet>
    </cfRule>
  </conditionalFormatting>
  <conditionalFormatting sqref="Y126">
    <cfRule type="iconSet" priority="25">
      <iconSet iconSet="3Flags" reverse="1">
        <cfvo type="percent" val="0"/>
        <cfvo type="formula" val="12247.1286"/>
        <cfvo type="formula" val="13607.9207" gte="0"/>
      </iconSet>
    </cfRule>
  </conditionalFormatting>
  <conditionalFormatting sqref="AA126">
    <cfRule type="iconSet" priority="24">
      <iconSet iconSet="3Flags" reverse="1">
        <cfvo type="percent" val="0"/>
        <cfvo type="formula" val="12383.2986"/>
        <cfvo type="formula" val="13759.2207" gte="0"/>
      </iconSet>
    </cfRule>
  </conditionalFormatting>
  <conditionalFormatting sqref="E128">
    <cfRule type="iconSet" priority="23">
      <iconSet iconSet="3Flags" reverse="1">
        <cfvo type="percent" val="0"/>
        <cfvo type="formula" val="60717.897"/>
        <cfvo type="formula" val="67464.33" gte="0"/>
      </iconSet>
    </cfRule>
  </conditionalFormatting>
  <conditionalFormatting sqref="G128">
    <cfRule type="iconSet" priority="22">
      <iconSet iconSet="3Flags" reverse="1">
        <cfvo type="percent" val="0"/>
        <cfvo type="formula" val="52520.049"/>
        <cfvo type="formula" val="58355.61" gte="0"/>
      </iconSet>
    </cfRule>
  </conditionalFormatting>
  <conditionalFormatting sqref="I128">
    <cfRule type="iconSet" priority="21">
      <iconSet iconSet="3Flags" reverse="1">
        <cfvo type="percent" val="0"/>
        <cfvo type="formula" val="43732.044"/>
        <cfvo type="formula" val="48591.16" gte="0"/>
      </iconSet>
    </cfRule>
  </conditionalFormatting>
  <conditionalFormatting sqref="K128">
    <cfRule type="iconSet" priority="20">
      <iconSet iconSet="3Flags" reverse="1">
        <cfvo type="percent" val="0"/>
        <cfvo type="formula" val="45895.257"/>
        <cfvo type="formula" val="50994.73" gte="0"/>
      </iconSet>
    </cfRule>
  </conditionalFormatting>
  <conditionalFormatting sqref="M128">
    <cfRule type="iconSet" priority="19">
      <iconSet iconSet="3Flags" reverse="1">
        <cfvo type="percent" val="0"/>
        <cfvo type="formula" val="4825.5036"/>
        <cfvo type="formula" val="5361.6707" gte="0"/>
      </iconSet>
    </cfRule>
  </conditionalFormatting>
  <conditionalFormatting sqref="O128">
    <cfRule type="iconSet" priority="18">
      <iconSet iconSet="3Flags" reverse="1">
        <cfvo type="percent" val="0"/>
        <cfvo type="formula" val="11855.9166"/>
        <cfvo type="formula" val="13173.2407" gte="0"/>
      </iconSet>
    </cfRule>
  </conditionalFormatting>
  <conditionalFormatting sqref="Q128">
    <cfRule type="iconSet" priority="17">
      <iconSet iconSet="3Flags" reverse="1">
        <cfvo type="percent" val="0"/>
        <cfvo type="formula" val="12038.5266"/>
        <cfvo type="formula" val="13376.1407" gte="0"/>
      </iconSet>
    </cfRule>
  </conditionalFormatting>
  <conditionalFormatting sqref="S128">
    <cfRule type="iconSet" priority="16">
      <iconSet iconSet="3Flags" reverse="1">
        <cfvo type="percent" val="0"/>
        <cfvo type="formula" val="12098.3766"/>
        <cfvo type="formula" val="13442.6407" gte="0"/>
      </iconSet>
    </cfRule>
  </conditionalFormatting>
  <conditionalFormatting sqref="U128">
    <cfRule type="iconSet" priority="15">
      <iconSet iconSet="3Flags" reverse="1">
        <cfvo type="percent" val="0"/>
        <cfvo type="formula" val="12175.6506"/>
        <cfvo type="formula" val="13528.5007" gte="0"/>
      </iconSet>
    </cfRule>
  </conditionalFormatting>
  <conditionalFormatting sqref="W128">
    <cfRule type="iconSet" priority="14">
      <iconSet iconSet="3Flags" reverse="1">
        <cfvo type="percent" val="0"/>
        <cfvo type="formula" val="12175.6506"/>
        <cfvo type="formula" val="13528.5007" gte="0"/>
      </iconSet>
    </cfRule>
  </conditionalFormatting>
  <conditionalFormatting sqref="Y128">
    <cfRule type="iconSet" priority="13">
      <iconSet iconSet="3Flags" reverse="1">
        <cfvo type="percent" val="0"/>
        <cfvo type="formula" val="12247.1286"/>
        <cfvo type="formula" val="13607.9207" gte="0"/>
      </iconSet>
    </cfRule>
  </conditionalFormatting>
  <conditionalFormatting sqref="AA128">
    <cfRule type="iconSet" priority="12">
      <iconSet iconSet="3Flags" reverse="1">
        <cfvo type="percent" val="0"/>
        <cfvo type="formula" val="12383.2986"/>
        <cfvo type="formula" val="13759.2207" gte="0"/>
      </iconSet>
    </cfRule>
  </conditionalFormatting>
  <conditionalFormatting sqref="E14">
    <cfRule type="iconSet" priority="11">
      <iconSet iconSet="3Flags" reverse="1">
        <cfvo type="percent" val="0"/>
        <cfvo type="formula" val="0"/>
        <cfvo type="formula" val="0" gte="0"/>
      </iconSet>
    </cfRule>
  </conditionalFormatting>
  <conditionalFormatting sqref="G14">
    <cfRule type="iconSet" priority="10">
      <iconSet iconSet="3Flags" reverse="1">
        <cfvo type="percent" val="0"/>
        <cfvo type="formula" val="0"/>
        <cfvo type="formula" val="0" gte="0"/>
      </iconSet>
    </cfRule>
  </conditionalFormatting>
  <conditionalFormatting sqref="Z15">
    <cfRule type="iconSet" priority="9">
      <iconSet iconSet="3Flags" reverse="1">
        <cfvo type="percent" val="0"/>
        <cfvo type="formula" val="335.7"/>
        <cfvo type="formula" val="373" gte="0"/>
      </iconSet>
    </cfRule>
  </conditionalFormatting>
  <conditionalFormatting sqref="Z16">
    <cfRule type="iconSet" priority="8">
      <iconSet iconSet="3Flags" reverse="1">
        <cfvo type="percent" val="0"/>
        <cfvo type="formula" val="962.775"/>
        <cfvo type="formula" val="1069.75" gte="0"/>
      </iconSet>
    </cfRule>
  </conditionalFormatting>
  <conditionalFormatting sqref="Z17">
    <cfRule type="iconSet" priority="7">
      <iconSet iconSet="3Flags" reverse="1">
        <cfvo type="percent" val="0"/>
        <cfvo type="formula" val="336.24"/>
        <cfvo type="formula" val="373.6" gte="0"/>
      </iconSet>
    </cfRule>
  </conditionalFormatting>
  <conditionalFormatting sqref="Z20">
    <cfRule type="iconSet" priority="6">
      <iconSet iconSet="3Flags" reverse="1">
        <cfvo type="percent" val="0"/>
        <cfvo type="formula" val="102.375"/>
        <cfvo type="formula" val="113.75" gte="0"/>
      </iconSet>
    </cfRule>
  </conditionalFormatting>
  <conditionalFormatting sqref="Z21">
    <cfRule type="iconSet" priority="5">
      <iconSet iconSet="3Flags" reverse="1">
        <cfvo type="percent" val="0"/>
        <cfvo type="formula" val="107.055"/>
        <cfvo type="formula" val="118.95" gte="0"/>
      </iconSet>
    </cfRule>
  </conditionalFormatting>
  <conditionalFormatting sqref="Z22">
    <cfRule type="iconSet" priority="4">
      <iconSet iconSet="3Flags" reverse="1">
        <cfvo type="percent" val="0"/>
        <cfvo type="formula" val="183.42"/>
        <cfvo type="formula" val="203.8" gte="0"/>
      </iconSet>
    </cfRule>
  </conditionalFormatting>
  <conditionalFormatting sqref="Z23">
    <cfRule type="iconSet" priority="3">
      <iconSet iconSet="3Flags" reverse="1">
        <cfvo type="percent" val="0"/>
        <cfvo type="formula" val="128.178"/>
        <cfvo type="formula" val="142.42" gte="0"/>
      </iconSet>
    </cfRule>
  </conditionalFormatting>
  <conditionalFormatting sqref="Z26">
    <cfRule type="iconSet" priority="2">
      <iconSet iconSet="3Flags" reverse="1">
        <cfvo type="percent" val="0"/>
        <cfvo type="formula" val="107.361"/>
        <cfvo type="formula" val="119.29" gte="0"/>
      </iconSet>
    </cfRule>
  </conditionalFormatting>
  <conditionalFormatting sqref="Z27">
    <cfRule type="iconSet" priority="1">
      <iconSet iconSet="3Flags" reverse="1">
        <cfvo type="percent" val="0"/>
        <cfvo type="formula" val="70.416"/>
        <cfvo type="formula" val="78.24" gte="0"/>
      </iconSet>
    </cfRule>
  </conditionalFormatting>
  <printOptions horizontalCentered="1"/>
  <pageMargins left="0" right="0" top="0" bottom="0" header="0" footer="0"/>
  <pageSetup paperSize="8" scale="58" orientation="landscape" r:id="rId1"/>
  <headerFooter>
    <oddFooter>&amp;L&amp;"-,Regular"&amp;D&amp;T&amp;R&amp;"-,Regular"&amp;N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rgb="FF7030A0"/>
  </sheetPr>
  <dimension ref="AC1:DQ58"/>
  <sheetViews>
    <sheetView showGridLines="0" topLeftCell="R1" zoomScale="180" zoomScaleNormal="180" zoomScalePageLayoutView="140" workbookViewId="0">
      <selection activeCell="AG11" sqref="AG11:AJ11"/>
    </sheetView>
  </sheetViews>
  <sheetFormatPr baseColWidth="10" defaultColWidth="3.33203125" defaultRowHeight="14"/>
  <cols>
    <col min="1" max="26" width="3.33203125" style="337"/>
    <col min="27" max="27" width="1.33203125" style="337" customWidth="1"/>
    <col min="28" max="28" width="0.5" style="337" customWidth="1"/>
    <col min="29" max="29" width="3.5" style="338" customWidth="1"/>
    <col min="30" max="36" width="3.5" style="339" customWidth="1"/>
    <col min="37" max="38" width="3.5" style="338" customWidth="1"/>
    <col min="39" max="39" width="4" style="338" customWidth="1"/>
    <col min="40" max="40" width="3.5" style="338" customWidth="1"/>
    <col min="41" max="41" width="0.5" style="337" customWidth="1"/>
    <col min="42" max="42" width="0.83203125" style="337" customWidth="1"/>
    <col min="43" max="43" width="0.5" style="337" customWidth="1"/>
    <col min="44" max="44" width="3.5" style="338" customWidth="1"/>
    <col min="45" max="53" width="3.5" style="339" customWidth="1"/>
    <col min="54" max="54" width="4" style="339" customWidth="1"/>
    <col min="55" max="55" width="3.5" style="339" customWidth="1"/>
    <col min="56" max="56" width="0.5" style="337" customWidth="1"/>
    <col min="57" max="57" width="0.83203125" style="337" customWidth="1"/>
    <col min="58" max="58" width="0.5" style="337" hidden="1" customWidth="1"/>
    <col min="59" max="59" width="3.5" style="338" hidden="1" customWidth="1"/>
    <col min="60" max="70" width="3.5" style="339" hidden="1" customWidth="1"/>
    <col min="71" max="71" width="0.5" style="337" hidden="1" customWidth="1"/>
    <col min="72" max="72" width="0.83203125" style="337" hidden="1" customWidth="1"/>
    <col min="73" max="73" width="0.5" style="337" hidden="1" customWidth="1"/>
    <col min="74" max="74" width="3.5" style="338" hidden="1" customWidth="1"/>
    <col min="75" max="85" width="3.5" style="339" hidden="1" customWidth="1"/>
    <col min="86" max="86" width="0.5" style="337" hidden="1" customWidth="1"/>
    <col min="87" max="87" width="0.83203125" style="337" hidden="1" customWidth="1"/>
    <col min="88" max="88" width="0.5" style="337" hidden="1" customWidth="1"/>
    <col min="89" max="89" width="3.5" style="338" hidden="1" customWidth="1"/>
    <col min="90" max="100" width="3.5" style="339" hidden="1" customWidth="1"/>
    <col min="101" max="101" width="0.5" style="337" hidden="1" customWidth="1"/>
    <col min="102" max="102" width="0.83203125" style="337" hidden="1" customWidth="1"/>
    <col min="103" max="103" width="0.5" style="337" hidden="1" customWidth="1"/>
    <col min="104" max="104" width="3.5" style="338" hidden="1" customWidth="1"/>
    <col min="105" max="115" width="3.5" style="339" hidden="1" customWidth="1"/>
    <col min="116" max="116" width="0.5" style="337" hidden="1" customWidth="1"/>
    <col min="117" max="120" width="3.33203125" style="337"/>
    <col min="121" max="121" width="14" style="337" customWidth="1"/>
    <col min="122" max="16384" width="3.33203125" style="337"/>
  </cols>
  <sheetData>
    <row r="1" spans="29:121" ht="4.5" customHeight="1"/>
    <row r="4" spans="29:121" ht="5.25" customHeight="1"/>
    <row r="5" spans="29:121" ht="3" customHeight="1"/>
    <row r="6" spans="29:121" ht="3" customHeight="1"/>
    <row r="7" spans="29:121" ht="15" thickBot="1">
      <c r="AC7" s="340"/>
      <c r="AD7" s="341"/>
      <c r="AE7" s="341"/>
      <c r="AF7" s="342"/>
      <c r="AG7" s="342"/>
      <c r="AH7" s="342"/>
      <c r="AI7" s="342"/>
      <c r="AJ7" s="342"/>
      <c r="AK7" s="343"/>
      <c r="AL7" s="340"/>
      <c r="AM7" s="340"/>
      <c r="AN7" s="340"/>
      <c r="AR7" s="340"/>
      <c r="AS7" s="341"/>
      <c r="AT7" s="341"/>
      <c r="AU7" s="341"/>
      <c r="AV7" s="341"/>
      <c r="AW7" s="341"/>
      <c r="AX7" s="341"/>
      <c r="AY7" s="341"/>
      <c r="AZ7" s="340"/>
      <c r="BA7" s="340"/>
      <c r="BB7" s="340"/>
      <c r="BC7" s="340"/>
      <c r="BG7" s="340"/>
      <c r="BH7" s="341"/>
      <c r="BI7" s="341"/>
      <c r="BJ7" s="342"/>
      <c r="BK7" s="342"/>
      <c r="BL7" s="342"/>
      <c r="BM7" s="342"/>
      <c r="BN7" s="342"/>
      <c r="BO7" s="342"/>
      <c r="BP7" s="341"/>
      <c r="BQ7" s="341"/>
      <c r="BR7" s="341"/>
      <c r="BV7" s="340"/>
      <c r="BW7" s="341"/>
      <c r="BX7" s="341"/>
      <c r="BY7" s="342"/>
      <c r="BZ7" s="342"/>
      <c r="CA7" s="342"/>
      <c r="CB7" s="342"/>
      <c r="CC7" s="342"/>
      <c r="CD7" s="342"/>
      <c r="CE7" s="341"/>
      <c r="CF7" s="341"/>
      <c r="CG7" s="341"/>
      <c r="CK7" s="340"/>
      <c r="CL7" s="341"/>
      <c r="CM7" s="341"/>
      <c r="CN7" s="342"/>
      <c r="CO7" s="342"/>
      <c r="CP7" s="342"/>
      <c r="CQ7" s="342"/>
      <c r="CR7" s="342"/>
      <c r="CS7" s="342"/>
      <c r="CT7" s="341"/>
      <c r="CU7" s="341"/>
      <c r="CV7" s="341"/>
      <c r="CZ7" s="340"/>
      <c r="DA7" s="341"/>
      <c r="DB7" s="341"/>
      <c r="DC7" s="342"/>
      <c r="DD7" s="342"/>
      <c r="DE7" s="342"/>
      <c r="DF7" s="342"/>
      <c r="DG7" s="342"/>
      <c r="DH7" s="342"/>
      <c r="DI7" s="341"/>
      <c r="DJ7" s="341"/>
      <c r="DK7" s="341"/>
      <c r="DQ7" s="344"/>
    </row>
    <row r="8" spans="29:121" ht="15.75" customHeight="1" thickTop="1">
      <c r="AC8" s="345" t="s">
        <v>87</v>
      </c>
      <c r="AD8" s="572">
        <f>'PROVENTOS&amp;DESCONTOS'!G7</f>
        <v>0</v>
      </c>
      <c r="AE8" s="572"/>
      <c r="AF8" s="572"/>
      <c r="AG8" s="582" t="s">
        <v>37</v>
      </c>
      <c r="AH8" s="583"/>
      <c r="AI8" s="583"/>
      <c r="AJ8" s="584"/>
      <c r="AK8" s="345" t="s">
        <v>89</v>
      </c>
      <c r="AL8" s="572">
        <f ca="1">GASTOS!E124</f>
        <v>0</v>
      </c>
      <c r="AM8" s="572"/>
      <c r="AN8" s="572"/>
      <c r="AR8" s="345" t="s">
        <v>87</v>
      </c>
      <c r="AS8" s="572">
        <f>'PROVENTOS&amp;DESCONTOS'!G13</f>
        <v>0</v>
      </c>
      <c r="AT8" s="572"/>
      <c r="AU8" s="572"/>
      <c r="AV8" s="582" t="s">
        <v>43</v>
      </c>
      <c r="AW8" s="583"/>
      <c r="AX8" s="583"/>
      <c r="AY8" s="584"/>
      <c r="AZ8" s="345" t="s">
        <v>89</v>
      </c>
      <c r="BA8" s="572" t="e">
        <f ca="1">GASTOS!Q124</f>
        <v>#VALUE!</v>
      </c>
      <c r="BB8" s="572"/>
      <c r="BC8" s="572"/>
      <c r="BG8" s="345" t="s">
        <v>87</v>
      </c>
      <c r="BH8" s="594">
        <f>'PROVENTOS&amp;DESCONTOS'!AP7</f>
        <v>0</v>
      </c>
      <c r="BI8" s="594"/>
      <c r="BJ8" s="595"/>
      <c r="BK8" s="600" t="s">
        <v>39</v>
      </c>
      <c r="BL8" s="600"/>
      <c r="BM8" s="600"/>
      <c r="BN8" s="600"/>
      <c r="BO8" s="345" t="s">
        <v>89</v>
      </c>
      <c r="BP8" s="598">
        <f>GASTOS!AJ124</f>
        <v>0</v>
      </c>
      <c r="BQ8" s="598"/>
      <c r="BR8" s="598"/>
      <c r="BV8" s="345" t="s">
        <v>87</v>
      </c>
      <c r="BW8" s="594">
        <f>'PROVENTOS&amp;DESCONTOS'!AP8</f>
        <v>0</v>
      </c>
      <c r="BX8" s="594"/>
      <c r="BY8" s="595"/>
      <c r="BZ8" s="600" t="s">
        <v>40</v>
      </c>
      <c r="CA8" s="600"/>
      <c r="CB8" s="600"/>
      <c r="CC8" s="600"/>
      <c r="CD8" s="345" t="s">
        <v>89</v>
      </c>
      <c r="CE8" s="598">
        <f>GASTOS!AL124</f>
        <v>0</v>
      </c>
      <c r="CF8" s="598"/>
      <c r="CG8" s="598"/>
      <c r="CK8" s="345" t="s">
        <v>87</v>
      </c>
      <c r="CL8" s="594">
        <f>'PROVENTOS&amp;DESCONTOS'!BT7</f>
        <v>0</v>
      </c>
      <c r="CM8" s="594"/>
      <c r="CN8" s="595"/>
      <c r="CO8" s="600" t="s">
        <v>41</v>
      </c>
      <c r="CP8" s="600"/>
      <c r="CQ8" s="600"/>
      <c r="CR8" s="600"/>
      <c r="CS8" s="345" t="s">
        <v>89</v>
      </c>
      <c r="CT8" s="598">
        <f>GASTOS!BN124</f>
        <v>0</v>
      </c>
      <c r="CU8" s="598"/>
      <c r="CV8" s="598"/>
      <c r="CZ8" s="345" t="s">
        <v>87</v>
      </c>
      <c r="DA8" s="594">
        <f>'PROVENTOS&amp;DESCONTOS'!BT8</f>
        <v>0</v>
      </c>
      <c r="DB8" s="594"/>
      <c r="DC8" s="595"/>
      <c r="DD8" s="600" t="s">
        <v>42</v>
      </c>
      <c r="DE8" s="600"/>
      <c r="DF8" s="600"/>
      <c r="DG8" s="600"/>
      <c r="DH8" s="345" t="s">
        <v>89</v>
      </c>
      <c r="DI8" s="598">
        <f>GASTOS!BP124</f>
        <v>0</v>
      </c>
      <c r="DJ8" s="598"/>
      <c r="DK8" s="598"/>
    </row>
    <row r="9" spans="29:121" ht="12.75" customHeight="1">
      <c r="AC9" s="345" t="s">
        <v>88</v>
      </c>
      <c r="AD9" s="572">
        <f>'PROVENTOS&amp;DESCONTOS'!T7</f>
        <v>0</v>
      </c>
      <c r="AE9" s="572"/>
      <c r="AF9" s="572"/>
      <c r="AG9" s="585"/>
      <c r="AH9" s="586"/>
      <c r="AI9" s="586"/>
      <c r="AJ9" s="587"/>
      <c r="AK9" s="602"/>
      <c r="AL9" s="599"/>
      <c r="AM9" s="599"/>
      <c r="AN9" s="599"/>
      <c r="AR9" s="345" t="s">
        <v>88</v>
      </c>
      <c r="AS9" s="572">
        <f>ENTRADA!P17</f>
        <v>0</v>
      </c>
      <c r="AT9" s="572"/>
      <c r="AU9" s="572"/>
      <c r="AV9" s="585"/>
      <c r="AW9" s="586"/>
      <c r="AX9" s="586"/>
      <c r="AY9" s="587"/>
      <c r="AZ9" s="599"/>
      <c r="BA9" s="599"/>
      <c r="BB9" s="599"/>
      <c r="BC9" s="599"/>
      <c r="BG9" s="599"/>
      <c r="BH9" s="599"/>
      <c r="BI9" s="599"/>
      <c r="BJ9" s="599"/>
      <c r="BK9" s="601"/>
      <c r="BL9" s="601"/>
      <c r="BM9" s="601"/>
      <c r="BN9" s="601"/>
      <c r="BO9" s="599"/>
      <c r="BP9" s="599"/>
      <c r="BQ9" s="599"/>
      <c r="BR9" s="599"/>
      <c r="BV9" s="599"/>
      <c r="BW9" s="599"/>
      <c r="BX9" s="599"/>
      <c r="BY9" s="599"/>
      <c r="BZ9" s="601"/>
      <c r="CA9" s="601"/>
      <c r="CB9" s="601"/>
      <c r="CC9" s="601"/>
      <c r="CD9" s="599"/>
      <c r="CE9" s="599"/>
      <c r="CF9" s="599"/>
      <c r="CG9" s="599"/>
      <c r="CK9" s="599"/>
      <c r="CL9" s="599"/>
      <c r="CM9" s="599"/>
      <c r="CN9" s="599"/>
      <c r="CO9" s="601"/>
      <c r="CP9" s="601"/>
      <c r="CQ9" s="601"/>
      <c r="CR9" s="601"/>
      <c r="CS9" s="599"/>
      <c r="CT9" s="599"/>
      <c r="CU9" s="599"/>
      <c r="CV9" s="599"/>
      <c r="CZ9" s="599"/>
      <c r="DA9" s="599"/>
      <c r="DB9" s="599"/>
      <c r="DC9" s="599"/>
      <c r="DD9" s="601"/>
      <c r="DE9" s="601"/>
      <c r="DF9" s="601"/>
      <c r="DG9" s="601"/>
      <c r="DH9" s="599"/>
      <c r="DI9" s="599"/>
      <c r="DJ9" s="599"/>
      <c r="DK9" s="599"/>
    </row>
    <row r="10" spans="29:121" ht="12.75" customHeight="1">
      <c r="AC10" s="345" t="s">
        <v>94</v>
      </c>
      <c r="AD10" s="603">
        <f>'PROVENTOS&amp;DESCONTOS'!U7</f>
        <v>0</v>
      </c>
      <c r="AE10" s="603"/>
      <c r="AF10" s="603"/>
      <c r="AG10" s="573">
        <f ca="1">AD8+AD9+AD10-AL8-AL10</f>
        <v>0</v>
      </c>
      <c r="AH10" s="574"/>
      <c r="AI10" s="574"/>
      <c r="AJ10" s="575"/>
      <c r="AK10" s="345" t="s">
        <v>90</v>
      </c>
      <c r="AL10" s="594"/>
      <c r="AM10" s="594"/>
      <c r="AN10" s="594"/>
      <c r="AR10" s="346" t="s">
        <v>94</v>
      </c>
      <c r="AS10" s="572">
        <f>ENTRADA!P36</f>
        <v>0</v>
      </c>
      <c r="AT10" s="572"/>
      <c r="AU10" s="604"/>
      <c r="AV10" s="573" t="e">
        <f ca="1">AS8+AS9+AS10-BA8-BA10</f>
        <v>#VALUE!</v>
      </c>
      <c r="AW10" s="574"/>
      <c r="AX10" s="574"/>
      <c r="AY10" s="575"/>
      <c r="AZ10" s="345" t="s">
        <v>90</v>
      </c>
      <c r="BA10" s="594"/>
      <c r="BB10" s="594"/>
      <c r="BC10" s="594"/>
      <c r="BG10" s="345" t="s">
        <v>88</v>
      </c>
      <c r="BH10" s="594">
        <f>'PROVENTOS&amp;DESCONTOS'!AN7</f>
        <v>0</v>
      </c>
      <c r="BI10" s="594"/>
      <c r="BJ10" s="595"/>
      <c r="BK10" s="596">
        <f>BH8+BH10-BP8-BP10</f>
        <v>0</v>
      </c>
      <c r="BL10" s="596"/>
      <c r="BM10" s="596"/>
      <c r="BN10" s="596"/>
      <c r="BO10" s="345" t="s">
        <v>90</v>
      </c>
      <c r="BP10" s="598">
        <f>'PROVENTOS&amp;DESCONTOS'!AX7</f>
        <v>0</v>
      </c>
      <c r="BQ10" s="598"/>
      <c r="BR10" s="598"/>
      <c r="BV10" s="345" t="s">
        <v>88</v>
      </c>
      <c r="BW10" s="594">
        <f>'PROVENTOS&amp;DESCONTOS'!AN8</f>
        <v>0</v>
      </c>
      <c r="BX10" s="594"/>
      <c r="BY10" s="595"/>
      <c r="BZ10" s="596">
        <f>BW8+BW10-CE8-CE10</f>
        <v>0</v>
      </c>
      <c r="CA10" s="596"/>
      <c r="CB10" s="596"/>
      <c r="CC10" s="596"/>
      <c r="CD10" s="345" t="s">
        <v>90</v>
      </c>
      <c r="CE10" s="598">
        <f>'PROVENTOS&amp;DESCONTOS'!AX8</f>
        <v>0</v>
      </c>
      <c r="CF10" s="598"/>
      <c r="CG10" s="598"/>
      <c r="CK10" s="345" t="s">
        <v>88</v>
      </c>
      <c r="CL10" s="594">
        <f>'PROVENTOS&amp;DESCONTOS'!BR7</f>
        <v>0</v>
      </c>
      <c r="CM10" s="594"/>
      <c r="CN10" s="595"/>
      <c r="CO10" s="596">
        <f>CL8+CL10-CT8-CT10</f>
        <v>0</v>
      </c>
      <c r="CP10" s="596"/>
      <c r="CQ10" s="596"/>
      <c r="CR10" s="596"/>
      <c r="CS10" s="345" t="s">
        <v>90</v>
      </c>
      <c r="CT10" s="598">
        <f>'PROVENTOS&amp;DESCONTOS'!CB7</f>
        <v>0</v>
      </c>
      <c r="CU10" s="598"/>
      <c r="CV10" s="598"/>
      <c r="CZ10" s="345" t="s">
        <v>88</v>
      </c>
      <c r="DA10" s="594">
        <f>'PROVENTOS&amp;DESCONTOS'!BR8</f>
        <v>0</v>
      </c>
      <c r="DB10" s="594"/>
      <c r="DC10" s="595"/>
      <c r="DD10" s="596">
        <f>DA8+DA10-DI8-DI10</f>
        <v>0</v>
      </c>
      <c r="DE10" s="596"/>
      <c r="DF10" s="596"/>
      <c r="DG10" s="596"/>
      <c r="DH10" s="345" t="s">
        <v>90</v>
      </c>
      <c r="DI10" s="598">
        <f>'PROVENTOS&amp;DESCONTOS'!CB8</f>
        <v>0</v>
      </c>
      <c r="DJ10" s="598"/>
      <c r="DK10" s="598"/>
    </row>
    <row r="11" spans="29:121" ht="12.75" customHeight="1" thickBot="1">
      <c r="AC11" s="340"/>
      <c r="AD11" s="341"/>
      <c r="AE11" s="341"/>
      <c r="AF11" s="342"/>
      <c r="AG11" s="576">
        <f ca="1">AG10-AD9</f>
        <v>0</v>
      </c>
      <c r="AH11" s="577"/>
      <c r="AI11" s="577"/>
      <c r="AJ11" s="578"/>
      <c r="AK11" s="340"/>
      <c r="AL11" s="340"/>
      <c r="AM11" s="340"/>
      <c r="AN11" s="343"/>
      <c r="AR11" s="340"/>
      <c r="AS11" s="341"/>
      <c r="AT11" s="341"/>
      <c r="AU11" s="342"/>
      <c r="AV11" s="576" t="e">
        <f ca="1">AV10-AS9</f>
        <v>#VALUE!</v>
      </c>
      <c r="AW11" s="577"/>
      <c r="AX11" s="577"/>
      <c r="AY11" s="578"/>
      <c r="AZ11" s="340"/>
      <c r="BA11" s="340"/>
      <c r="BB11" s="340"/>
      <c r="BC11" s="343"/>
      <c r="BG11" s="340"/>
      <c r="BH11" s="341"/>
      <c r="BI11" s="341"/>
      <c r="BJ11" s="342"/>
      <c r="BK11" s="597"/>
      <c r="BL11" s="597"/>
      <c r="BM11" s="597"/>
      <c r="BN11" s="597"/>
      <c r="BO11" s="340"/>
      <c r="BP11" s="341"/>
      <c r="BQ11" s="341"/>
      <c r="BR11" s="342"/>
      <c r="BV11" s="340"/>
      <c r="BW11" s="341"/>
      <c r="BX11" s="341"/>
      <c r="BY11" s="342"/>
      <c r="BZ11" s="597"/>
      <c r="CA11" s="597"/>
      <c r="CB11" s="597"/>
      <c r="CC11" s="597"/>
      <c r="CD11" s="340"/>
      <c r="CE11" s="341"/>
      <c r="CF11" s="341"/>
      <c r="CG11" s="342"/>
      <c r="CK11" s="340"/>
      <c r="CL11" s="341"/>
      <c r="CM11" s="341"/>
      <c r="CN11" s="342"/>
      <c r="CO11" s="597"/>
      <c r="CP11" s="597"/>
      <c r="CQ11" s="597"/>
      <c r="CR11" s="597"/>
      <c r="CS11" s="340"/>
      <c r="CT11" s="341"/>
      <c r="CU11" s="341"/>
      <c r="CV11" s="342"/>
      <c r="CZ11" s="340"/>
      <c r="DA11" s="341"/>
      <c r="DB11" s="341"/>
      <c r="DC11" s="342"/>
      <c r="DD11" s="597"/>
      <c r="DE11" s="597"/>
      <c r="DF11" s="597"/>
      <c r="DG11" s="597"/>
      <c r="DH11" s="340"/>
      <c r="DI11" s="341"/>
      <c r="DJ11" s="341"/>
      <c r="DK11" s="342"/>
    </row>
    <row r="12" spans="29:121" ht="15" thickTop="1">
      <c r="AC12" s="340"/>
      <c r="AD12" s="341"/>
      <c r="AE12" s="341"/>
      <c r="AF12" s="341"/>
      <c r="AG12" s="341"/>
      <c r="AH12" s="341"/>
      <c r="AI12" s="341"/>
      <c r="AJ12" s="341"/>
      <c r="AK12" s="340"/>
      <c r="AL12" s="340"/>
      <c r="AM12" s="340"/>
      <c r="AN12" s="340"/>
      <c r="AR12" s="349"/>
      <c r="AS12" s="341"/>
      <c r="AT12" s="341"/>
      <c r="AU12" s="341"/>
      <c r="AV12" s="341"/>
      <c r="AW12" s="341"/>
      <c r="AX12" s="341"/>
      <c r="AY12" s="341"/>
      <c r="AZ12" s="340"/>
      <c r="BA12" s="340"/>
      <c r="BB12" s="340"/>
      <c r="BC12" s="340"/>
      <c r="BG12" s="340"/>
      <c r="BH12" s="341"/>
      <c r="BI12" s="341"/>
      <c r="BJ12" s="341"/>
      <c r="BK12" s="341"/>
      <c r="BL12" s="341"/>
      <c r="BM12" s="341"/>
      <c r="BN12" s="341"/>
      <c r="BO12" s="341"/>
      <c r="BP12" s="341"/>
      <c r="BQ12" s="341"/>
      <c r="BR12" s="341"/>
      <c r="BV12" s="340"/>
      <c r="BW12" s="341"/>
      <c r="BX12" s="341"/>
      <c r="BY12" s="341"/>
      <c r="BZ12" s="341"/>
      <c r="CA12" s="341"/>
      <c r="CB12" s="341"/>
      <c r="CC12" s="341"/>
      <c r="CD12" s="341"/>
      <c r="CE12" s="341"/>
      <c r="CF12" s="341"/>
      <c r="CG12" s="341"/>
      <c r="CK12" s="340"/>
      <c r="CL12" s="341"/>
      <c r="CM12" s="341"/>
      <c r="CN12" s="341"/>
      <c r="CO12" s="341"/>
      <c r="CP12" s="341"/>
      <c r="CQ12" s="341"/>
      <c r="CR12" s="341"/>
      <c r="CS12" s="341"/>
      <c r="CT12" s="341"/>
      <c r="CU12" s="341"/>
      <c r="CV12" s="341"/>
      <c r="CZ12" s="340"/>
      <c r="DA12" s="341"/>
      <c r="DB12" s="341"/>
      <c r="DC12" s="341"/>
      <c r="DD12" s="341"/>
      <c r="DE12" s="341"/>
      <c r="DF12" s="341"/>
      <c r="DG12" s="341"/>
      <c r="DH12" s="341"/>
      <c r="DI12" s="341"/>
      <c r="DJ12" s="341"/>
      <c r="DK12" s="341"/>
    </row>
    <row r="13" spans="29:121" ht="3" customHeight="1"/>
    <row r="14" spans="29:121" ht="2.25" customHeight="1"/>
    <row r="15" spans="29:121" ht="3" customHeight="1"/>
    <row r="16" spans="29:121" ht="15" thickBot="1">
      <c r="AC16" s="340"/>
      <c r="AD16" s="341"/>
      <c r="AE16" s="341"/>
      <c r="AF16" s="342"/>
      <c r="AG16" s="342"/>
      <c r="AH16" s="342"/>
      <c r="AI16" s="342"/>
      <c r="AJ16" s="342"/>
      <c r="AK16" s="343"/>
      <c r="AL16" s="340"/>
      <c r="AM16" s="340"/>
      <c r="AN16" s="340"/>
      <c r="AR16" s="340"/>
      <c r="AS16" s="341"/>
      <c r="AT16" s="341"/>
      <c r="AU16" s="341"/>
      <c r="AV16" s="341"/>
      <c r="AW16" s="341"/>
      <c r="AX16" s="341"/>
      <c r="AY16" s="341"/>
      <c r="AZ16" s="340"/>
      <c r="BA16" s="340"/>
      <c r="BB16" s="340"/>
      <c r="BC16" s="340"/>
      <c r="BG16" s="340"/>
      <c r="BH16" s="341"/>
      <c r="BI16" s="341"/>
      <c r="BJ16" s="341"/>
      <c r="BK16" s="341"/>
      <c r="BL16" s="341"/>
      <c r="BM16" s="341"/>
      <c r="BN16" s="341"/>
      <c r="BO16" s="341"/>
      <c r="BP16" s="341"/>
      <c r="BQ16" s="341"/>
      <c r="BR16" s="341"/>
      <c r="BV16" s="340"/>
      <c r="BW16" s="341"/>
      <c r="BX16" s="341"/>
      <c r="BY16" s="341"/>
      <c r="BZ16" s="341"/>
      <c r="CA16" s="341"/>
      <c r="CB16" s="341"/>
      <c r="CC16" s="341"/>
      <c r="CD16" s="341"/>
      <c r="CE16" s="341"/>
      <c r="CF16" s="341"/>
      <c r="CG16" s="341"/>
      <c r="CK16" s="340"/>
      <c r="CL16" s="341"/>
      <c r="CM16" s="341"/>
      <c r="CN16" s="341"/>
      <c r="CO16" s="341"/>
      <c r="CP16" s="341"/>
      <c r="CQ16" s="341"/>
      <c r="CR16" s="341"/>
      <c r="CS16" s="341"/>
      <c r="CT16" s="341"/>
      <c r="CU16" s="341"/>
      <c r="CV16" s="341"/>
      <c r="CZ16" s="340"/>
      <c r="DA16" s="341"/>
      <c r="DB16" s="341"/>
      <c r="DC16" s="341"/>
      <c r="DD16" s="341"/>
      <c r="DE16" s="341"/>
      <c r="DF16" s="341"/>
      <c r="DG16" s="341"/>
      <c r="DH16" s="341"/>
      <c r="DI16" s="341"/>
      <c r="DJ16" s="341"/>
      <c r="DK16" s="341"/>
    </row>
    <row r="17" spans="29:121" ht="15.75" customHeight="1" thickTop="1">
      <c r="AC17" s="345" t="s">
        <v>87</v>
      </c>
      <c r="AD17" s="572">
        <f>'PROVENTOS&amp;DESCONTOS'!G8</f>
        <v>0</v>
      </c>
      <c r="AE17" s="572"/>
      <c r="AF17" s="572"/>
      <c r="AG17" s="582" t="s">
        <v>38</v>
      </c>
      <c r="AH17" s="583"/>
      <c r="AI17" s="583"/>
      <c r="AJ17" s="584"/>
      <c r="AK17" s="345" t="s">
        <v>89</v>
      </c>
      <c r="AL17" s="572" t="e">
        <f ca="1">GASTOS!G124</f>
        <v>#VALUE!</v>
      </c>
      <c r="AM17" s="572"/>
      <c r="AN17" s="572"/>
      <c r="AR17" s="345" t="s">
        <v>87</v>
      </c>
      <c r="AS17" s="572">
        <f>'PROVENTOS&amp;DESCONTOS'!S14</f>
        <v>0</v>
      </c>
      <c r="AT17" s="572"/>
      <c r="AU17" s="572"/>
      <c r="AV17" s="582" t="s">
        <v>44</v>
      </c>
      <c r="AW17" s="583"/>
      <c r="AX17" s="583"/>
      <c r="AY17" s="584"/>
      <c r="AZ17" s="345" t="s">
        <v>89</v>
      </c>
      <c r="BA17" s="572" t="e">
        <f ca="1">GASTOS!S124</f>
        <v>#VALUE!</v>
      </c>
      <c r="BB17" s="572"/>
      <c r="BC17" s="572"/>
      <c r="BG17" s="345" t="s">
        <v>87</v>
      </c>
      <c r="BH17" s="594">
        <f>'PROVENTOS&amp;DESCONTOS'!AP18</f>
        <v>0</v>
      </c>
      <c r="BI17" s="594"/>
      <c r="BJ17" s="595"/>
      <c r="BK17" s="600" t="s">
        <v>45</v>
      </c>
      <c r="BL17" s="600"/>
      <c r="BM17" s="600"/>
      <c r="BN17" s="600"/>
      <c r="BO17" s="345" t="s">
        <v>89</v>
      </c>
      <c r="BP17" s="598">
        <f>GASTOS!AJ137</f>
        <v>0</v>
      </c>
      <c r="BQ17" s="598"/>
      <c r="BR17" s="598"/>
      <c r="BV17" s="345" t="s">
        <v>87</v>
      </c>
      <c r="BW17" s="594">
        <f>'PROVENTOS&amp;DESCONTOS'!AP19</f>
        <v>0</v>
      </c>
      <c r="BX17" s="594"/>
      <c r="BY17" s="595"/>
      <c r="BZ17" s="600" t="s">
        <v>46</v>
      </c>
      <c r="CA17" s="600"/>
      <c r="CB17" s="600"/>
      <c r="CC17" s="600"/>
      <c r="CD17" s="345" t="s">
        <v>89</v>
      </c>
      <c r="CE17" s="598">
        <f>GASTOS!AL137</f>
        <v>0</v>
      </c>
      <c r="CF17" s="598"/>
      <c r="CG17" s="598"/>
      <c r="CK17" s="345" t="s">
        <v>87</v>
      </c>
      <c r="CL17" s="594">
        <f>'PROVENTOS&amp;DESCONTOS'!BT18</f>
        <v>0</v>
      </c>
      <c r="CM17" s="594"/>
      <c r="CN17" s="595"/>
      <c r="CO17" s="600" t="s">
        <v>47</v>
      </c>
      <c r="CP17" s="600"/>
      <c r="CQ17" s="600"/>
      <c r="CR17" s="600"/>
      <c r="CS17" s="345" t="s">
        <v>89</v>
      </c>
      <c r="CT17" s="598">
        <f>GASTOS!BN137</f>
        <v>0</v>
      </c>
      <c r="CU17" s="598"/>
      <c r="CV17" s="598"/>
      <c r="CZ17" s="345" t="s">
        <v>87</v>
      </c>
      <c r="DA17" s="594">
        <f>'PROVENTOS&amp;DESCONTOS'!BT19</f>
        <v>0</v>
      </c>
      <c r="DB17" s="594"/>
      <c r="DC17" s="595"/>
      <c r="DD17" s="600" t="s">
        <v>48</v>
      </c>
      <c r="DE17" s="600"/>
      <c r="DF17" s="600"/>
      <c r="DG17" s="600"/>
      <c r="DH17" s="345" t="s">
        <v>89</v>
      </c>
      <c r="DI17" s="598">
        <f>GASTOS!BP137</f>
        <v>0</v>
      </c>
      <c r="DJ17" s="598"/>
      <c r="DK17" s="598"/>
    </row>
    <row r="18" spans="29:121" ht="12.75" customHeight="1">
      <c r="AC18" s="345" t="s">
        <v>88</v>
      </c>
      <c r="AD18" s="572">
        <f>'PROVENTOS&amp;DESCONTOS'!T8</f>
        <v>0</v>
      </c>
      <c r="AE18" s="572"/>
      <c r="AF18" s="572"/>
      <c r="AG18" s="585"/>
      <c r="AH18" s="586"/>
      <c r="AI18" s="586"/>
      <c r="AJ18" s="587"/>
      <c r="AK18" s="599"/>
      <c r="AL18" s="599"/>
      <c r="AM18" s="599"/>
      <c r="AN18" s="599"/>
      <c r="AR18" s="345" t="s">
        <v>88</v>
      </c>
      <c r="AS18" s="572">
        <f>'PROVENTOS&amp;DESCONTOS'!T14</f>
        <v>0</v>
      </c>
      <c r="AT18" s="572"/>
      <c r="AU18" s="572"/>
      <c r="AV18" s="585"/>
      <c r="AW18" s="586"/>
      <c r="AX18" s="586"/>
      <c r="AY18" s="587"/>
      <c r="AZ18" s="602"/>
      <c r="BA18" s="599"/>
      <c r="BB18" s="599"/>
      <c r="BC18" s="599"/>
      <c r="BG18" s="599"/>
      <c r="BH18" s="599"/>
      <c r="BI18" s="599"/>
      <c r="BJ18" s="599"/>
      <c r="BK18" s="601"/>
      <c r="BL18" s="601"/>
      <c r="BM18" s="601"/>
      <c r="BN18" s="601"/>
      <c r="BO18" s="599"/>
      <c r="BP18" s="599"/>
      <c r="BQ18" s="599"/>
      <c r="BR18" s="599"/>
      <c r="BV18" s="599"/>
      <c r="BW18" s="599"/>
      <c r="BX18" s="599"/>
      <c r="BY18" s="599"/>
      <c r="BZ18" s="601"/>
      <c r="CA18" s="601"/>
      <c r="CB18" s="601"/>
      <c r="CC18" s="601"/>
      <c r="CD18" s="599"/>
      <c r="CE18" s="599"/>
      <c r="CF18" s="599"/>
      <c r="CG18" s="599"/>
      <c r="CK18" s="599"/>
      <c r="CL18" s="599"/>
      <c r="CM18" s="599"/>
      <c r="CN18" s="599"/>
      <c r="CO18" s="601"/>
      <c r="CP18" s="601"/>
      <c r="CQ18" s="601"/>
      <c r="CR18" s="601"/>
      <c r="CS18" s="599"/>
      <c r="CT18" s="599"/>
      <c r="CU18" s="599"/>
      <c r="CV18" s="599"/>
      <c r="CZ18" s="599"/>
      <c r="DA18" s="599"/>
      <c r="DB18" s="599"/>
      <c r="DC18" s="599"/>
      <c r="DD18" s="601"/>
      <c r="DE18" s="601"/>
      <c r="DF18" s="601"/>
      <c r="DG18" s="601"/>
      <c r="DH18" s="599"/>
      <c r="DI18" s="599"/>
      <c r="DJ18" s="599"/>
      <c r="DK18" s="599"/>
    </row>
    <row r="19" spans="29:121">
      <c r="AC19" s="346" t="s">
        <v>94</v>
      </c>
      <c r="AD19" s="603">
        <f>'PROVENTOS&amp;DESCONTOS'!U8</f>
        <v>0</v>
      </c>
      <c r="AE19" s="603"/>
      <c r="AF19" s="603"/>
      <c r="AG19" s="573" t="e">
        <f ca="1">AD17+AD18+AD19-AL17-AL19</f>
        <v>#VALUE!</v>
      </c>
      <c r="AH19" s="574"/>
      <c r="AI19" s="574"/>
      <c r="AJ19" s="575"/>
      <c r="AK19" s="345" t="s">
        <v>90</v>
      </c>
      <c r="AL19" s="594"/>
      <c r="AM19" s="594"/>
      <c r="AN19" s="594"/>
      <c r="AR19" s="346" t="s">
        <v>94</v>
      </c>
      <c r="AS19" s="572">
        <f>'PROVENTOS&amp;DESCONTOS'!U14</f>
        <v>0</v>
      </c>
      <c r="AT19" s="572"/>
      <c r="AU19" s="572"/>
      <c r="AV19" s="573" t="e">
        <f ca="1">AS17+AS19+AS18-BA17-BA19</f>
        <v>#VALUE!</v>
      </c>
      <c r="AW19" s="574"/>
      <c r="AX19" s="574"/>
      <c r="AY19" s="575"/>
      <c r="AZ19" s="345" t="s">
        <v>90</v>
      </c>
      <c r="BA19" s="594">
        <v>0</v>
      </c>
      <c r="BB19" s="594"/>
      <c r="BC19" s="594"/>
      <c r="BG19" s="345" t="s">
        <v>88</v>
      </c>
      <c r="BH19" s="594">
        <f>'PROVENTOS&amp;DESCONTOS'!AN18</f>
        <v>0</v>
      </c>
      <c r="BI19" s="594"/>
      <c r="BJ19" s="595"/>
      <c r="BK19" s="596">
        <f>BH17+BH19-BP17-BP19</f>
        <v>0</v>
      </c>
      <c r="BL19" s="596"/>
      <c r="BM19" s="596"/>
      <c r="BN19" s="596"/>
      <c r="BO19" s="345" t="s">
        <v>90</v>
      </c>
      <c r="BP19" s="598">
        <f>'PROVENTOS&amp;DESCONTOS'!AX18</f>
        <v>0</v>
      </c>
      <c r="BQ19" s="598"/>
      <c r="BR19" s="598"/>
      <c r="BV19" s="345" t="s">
        <v>88</v>
      </c>
      <c r="BW19" s="594">
        <f>'PROVENTOS&amp;DESCONTOS'!AN19</f>
        <v>0</v>
      </c>
      <c r="BX19" s="594"/>
      <c r="BY19" s="595"/>
      <c r="BZ19" s="596">
        <f>BW17+BW19-CE17-CE19</f>
        <v>0</v>
      </c>
      <c r="CA19" s="596"/>
      <c r="CB19" s="596"/>
      <c r="CC19" s="596"/>
      <c r="CD19" s="345" t="s">
        <v>90</v>
      </c>
      <c r="CE19" s="598">
        <f>'PROVENTOS&amp;DESCONTOS'!AX19</f>
        <v>0</v>
      </c>
      <c r="CF19" s="598"/>
      <c r="CG19" s="598"/>
      <c r="CK19" s="345" t="s">
        <v>88</v>
      </c>
      <c r="CL19" s="594">
        <f>'PROVENTOS&amp;DESCONTOS'!BR18</f>
        <v>0</v>
      </c>
      <c r="CM19" s="594"/>
      <c r="CN19" s="595"/>
      <c r="CO19" s="596">
        <f>CL17+CL19-CT17-CT19</f>
        <v>0</v>
      </c>
      <c r="CP19" s="596"/>
      <c r="CQ19" s="596"/>
      <c r="CR19" s="596"/>
      <c r="CS19" s="345" t="s">
        <v>90</v>
      </c>
      <c r="CT19" s="598">
        <f>'PROVENTOS&amp;DESCONTOS'!CB18</f>
        <v>0</v>
      </c>
      <c r="CU19" s="598"/>
      <c r="CV19" s="598"/>
      <c r="CZ19" s="345" t="s">
        <v>88</v>
      </c>
      <c r="DA19" s="594">
        <f>'PROVENTOS&amp;DESCONTOS'!BR19</f>
        <v>0</v>
      </c>
      <c r="DB19" s="594"/>
      <c r="DC19" s="595"/>
      <c r="DD19" s="596">
        <f>DA17+DA19-DI17-DI19</f>
        <v>0</v>
      </c>
      <c r="DE19" s="596"/>
      <c r="DF19" s="596"/>
      <c r="DG19" s="596"/>
      <c r="DH19" s="345" t="s">
        <v>90</v>
      </c>
      <c r="DI19" s="598">
        <f>'PROVENTOS&amp;DESCONTOS'!CB19</f>
        <v>0</v>
      </c>
      <c r="DJ19" s="598"/>
      <c r="DK19" s="598"/>
    </row>
    <row r="20" spans="29:121" ht="15" thickBot="1">
      <c r="AC20" s="340"/>
      <c r="AD20" s="341"/>
      <c r="AE20" s="341"/>
      <c r="AF20" s="342"/>
      <c r="AG20" s="576" t="e">
        <f ca="1">AG19-AD18</f>
        <v>#VALUE!</v>
      </c>
      <c r="AH20" s="577"/>
      <c r="AI20" s="577"/>
      <c r="AJ20" s="578"/>
      <c r="AK20" s="340"/>
      <c r="AL20" s="340"/>
      <c r="AM20" s="340"/>
      <c r="AN20" s="343"/>
      <c r="AR20" s="340"/>
      <c r="AS20" s="572"/>
      <c r="AT20" s="572"/>
      <c r="AU20" s="572"/>
      <c r="AV20" s="576" t="e">
        <f ca="1">AV19-AS18</f>
        <v>#VALUE!</v>
      </c>
      <c r="AW20" s="577"/>
      <c r="AX20" s="577"/>
      <c r="AY20" s="578"/>
      <c r="AZ20" s="348"/>
      <c r="BA20" s="348"/>
      <c r="BB20" s="348"/>
      <c r="BC20" s="343"/>
      <c r="BG20" s="340"/>
      <c r="BH20" s="341"/>
      <c r="BI20" s="341"/>
      <c r="BJ20" s="342"/>
      <c r="BK20" s="597"/>
      <c r="BL20" s="597"/>
      <c r="BM20" s="597"/>
      <c r="BN20" s="597"/>
      <c r="BO20" s="340"/>
      <c r="BP20" s="341"/>
      <c r="BQ20" s="341"/>
      <c r="BR20" s="342"/>
      <c r="BV20" s="340"/>
      <c r="BW20" s="341"/>
      <c r="BX20" s="341"/>
      <c r="BY20" s="342"/>
      <c r="BZ20" s="597"/>
      <c r="CA20" s="597"/>
      <c r="CB20" s="597"/>
      <c r="CC20" s="597"/>
      <c r="CD20" s="340"/>
      <c r="CE20" s="341"/>
      <c r="CF20" s="341"/>
      <c r="CG20" s="342"/>
      <c r="CK20" s="340"/>
      <c r="CL20" s="341"/>
      <c r="CM20" s="341"/>
      <c r="CN20" s="342"/>
      <c r="CO20" s="597"/>
      <c r="CP20" s="597"/>
      <c r="CQ20" s="597"/>
      <c r="CR20" s="597"/>
      <c r="CS20" s="340"/>
      <c r="CT20" s="341"/>
      <c r="CU20" s="341"/>
      <c r="CV20" s="342"/>
      <c r="CZ20" s="340"/>
      <c r="DA20" s="341"/>
      <c r="DB20" s="341"/>
      <c r="DC20" s="342"/>
      <c r="DD20" s="597"/>
      <c r="DE20" s="597"/>
      <c r="DF20" s="597"/>
      <c r="DG20" s="597"/>
      <c r="DH20" s="340"/>
      <c r="DI20" s="341"/>
      <c r="DJ20" s="341"/>
      <c r="DK20" s="342"/>
    </row>
    <row r="21" spans="29:121" ht="15" thickTop="1">
      <c r="AC21" s="340"/>
      <c r="AD21" s="357"/>
      <c r="AE21" s="341"/>
      <c r="AF21" s="341"/>
      <c r="AG21" s="341"/>
      <c r="AH21" s="341"/>
      <c r="AI21" s="341"/>
      <c r="AJ21" s="341"/>
      <c r="AK21" s="340"/>
      <c r="AL21" s="340"/>
      <c r="AM21" s="535">
        <f>37094.9-AD18</f>
        <v>37094.9</v>
      </c>
      <c r="AN21" s="340"/>
      <c r="AR21" s="340"/>
      <c r="AS21" s="572"/>
      <c r="AT21" s="572"/>
      <c r="AU21" s="572"/>
      <c r="AV21" s="341"/>
      <c r="AW21" s="341"/>
      <c r="AX21" s="341"/>
      <c r="AY21" s="341"/>
      <c r="AZ21" s="348"/>
      <c r="BA21" s="348"/>
      <c r="BB21" s="348"/>
      <c r="BC21" s="348"/>
      <c r="BG21" s="340"/>
      <c r="BH21" s="341"/>
      <c r="BI21" s="341"/>
      <c r="BJ21" s="341"/>
      <c r="BK21" s="341"/>
      <c r="BL21" s="341"/>
      <c r="BM21" s="341"/>
      <c r="BN21" s="341"/>
      <c r="BO21" s="341"/>
      <c r="BP21" s="341"/>
      <c r="BQ21" s="341"/>
      <c r="BR21" s="341"/>
      <c r="BV21" s="340"/>
      <c r="BW21" s="341"/>
      <c r="BX21" s="341"/>
      <c r="BY21" s="341"/>
      <c r="BZ21" s="341"/>
      <c r="CA21" s="341"/>
      <c r="CB21" s="341"/>
      <c r="CC21" s="341"/>
      <c r="CD21" s="341"/>
      <c r="CE21" s="341"/>
      <c r="CF21" s="341"/>
      <c r="CG21" s="341"/>
      <c r="CK21" s="340"/>
      <c r="CL21" s="341"/>
      <c r="CM21" s="341"/>
      <c r="CN21" s="341"/>
      <c r="CO21" s="341"/>
      <c r="CP21" s="341"/>
      <c r="CQ21" s="341"/>
      <c r="CR21" s="341"/>
      <c r="CS21" s="341"/>
      <c r="CT21" s="341"/>
      <c r="CU21" s="341"/>
      <c r="CV21" s="341"/>
      <c r="CZ21" s="340"/>
      <c r="DA21" s="341"/>
      <c r="DB21" s="341"/>
      <c r="DC21" s="341"/>
      <c r="DD21" s="341"/>
      <c r="DE21" s="341"/>
      <c r="DF21" s="341"/>
      <c r="DG21" s="341"/>
      <c r="DH21" s="341"/>
      <c r="DI21" s="341"/>
      <c r="DJ21" s="341"/>
      <c r="DK21" s="341"/>
    </row>
    <row r="22" spans="29:121" ht="3" customHeight="1">
      <c r="AS22" s="572"/>
      <c r="AT22" s="572"/>
      <c r="AU22" s="572"/>
    </row>
    <row r="23" spans="29:121" ht="3" customHeight="1">
      <c r="AS23" s="572"/>
      <c r="AT23" s="572"/>
      <c r="AU23" s="572"/>
    </row>
    <row r="24" spans="29:121" ht="3" customHeight="1">
      <c r="AS24" s="572"/>
      <c r="AT24" s="572"/>
      <c r="AU24" s="572"/>
    </row>
    <row r="25" spans="29:121" ht="15" thickBot="1">
      <c r="AC25" s="340"/>
      <c r="AD25" s="341"/>
      <c r="AE25" s="341"/>
      <c r="AF25" s="341"/>
      <c r="AG25" s="341"/>
      <c r="AH25" s="341"/>
      <c r="AI25" s="341"/>
      <c r="AJ25" s="341"/>
      <c r="AK25" s="340"/>
      <c r="AL25" s="340"/>
      <c r="AM25" s="340"/>
      <c r="AN25" s="340"/>
      <c r="AR25" s="340"/>
      <c r="AS25" s="572"/>
      <c r="AT25" s="572"/>
      <c r="AU25" s="572"/>
      <c r="AV25" s="341"/>
      <c r="AW25" s="341"/>
      <c r="AX25" s="341"/>
      <c r="AY25" s="341"/>
      <c r="AZ25" s="348"/>
      <c r="BA25" s="348"/>
      <c r="BB25" s="348"/>
      <c r="BC25" s="348"/>
      <c r="BG25" s="340"/>
      <c r="BH25" s="341"/>
      <c r="BI25" s="341"/>
      <c r="BJ25" s="341"/>
      <c r="BK25" s="341"/>
      <c r="BL25" s="341"/>
      <c r="BM25" s="341"/>
      <c r="BN25" s="341"/>
      <c r="BO25" s="341"/>
      <c r="BP25" s="341"/>
      <c r="BQ25" s="341"/>
      <c r="BR25" s="341"/>
      <c r="BV25" s="340"/>
      <c r="BW25" s="341"/>
      <c r="BX25" s="341"/>
      <c r="BY25" s="341"/>
      <c r="BZ25" s="341"/>
      <c r="CA25" s="341"/>
      <c r="CB25" s="341"/>
      <c r="CC25" s="341"/>
      <c r="CD25" s="341"/>
      <c r="CE25" s="341"/>
      <c r="CF25" s="341"/>
      <c r="CG25" s="341"/>
      <c r="CK25" s="340"/>
      <c r="CL25" s="341"/>
      <c r="CM25" s="341"/>
      <c r="CN25" s="341"/>
      <c r="CO25" s="341"/>
      <c r="CP25" s="341"/>
      <c r="CQ25" s="341"/>
      <c r="CR25" s="341"/>
      <c r="CS25" s="341"/>
      <c r="CT25" s="341"/>
      <c r="CU25" s="341"/>
      <c r="CV25" s="341"/>
      <c r="CZ25" s="340"/>
      <c r="DA25" s="341"/>
      <c r="DB25" s="341"/>
      <c r="DC25" s="341"/>
      <c r="DD25" s="341"/>
      <c r="DE25" s="341"/>
      <c r="DF25" s="341"/>
      <c r="DG25" s="341"/>
      <c r="DH25" s="341"/>
      <c r="DI25" s="341"/>
      <c r="DJ25" s="341"/>
      <c r="DK25" s="341"/>
    </row>
    <row r="26" spans="29:121" ht="15.75" customHeight="1" thickTop="1">
      <c r="AC26" s="345" t="s">
        <v>87</v>
      </c>
      <c r="AD26" s="572">
        <f>'PROVENTOS&amp;DESCONTOS'!G9</f>
        <v>0</v>
      </c>
      <c r="AE26" s="572"/>
      <c r="AF26" s="572"/>
      <c r="AG26" s="582" t="s">
        <v>39</v>
      </c>
      <c r="AH26" s="583"/>
      <c r="AI26" s="583"/>
      <c r="AJ26" s="584"/>
      <c r="AK26" s="345" t="s">
        <v>89</v>
      </c>
      <c r="AL26" s="572" t="e">
        <f ca="1">GASTOS!I124</f>
        <v>#VALUE!</v>
      </c>
      <c r="AM26" s="572"/>
      <c r="AN26" s="572"/>
      <c r="AR26" s="345" t="s">
        <v>87</v>
      </c>
      <c r="AS26" s="572">
        <f>'PROVENTOS&amp;DESCONTOS'!S15</f>
        <v>0</v>
      </c>
      <c r="AT26" s="572"/>
      <c r="AU26" s="572"/>
      <c r="AV26" s="582" t="s">
        <v>45</v>
      </c>
      <c r="AW26" s="583"/>
      <c r="AX26" s="583"/>
      <c r="AY26" s="584"/>
      <c r="AZ26" s="345" t="s">
        <v>89</v>
      </c>
      <c r="BA26" s="572" t="e">
        <f ca="1">GASTOS!U124</f>
        <v>#VALUE!</v>
      </c>
      <c r="BB26" s="572"/>
      <c r="BC26" s="572"/>
      <c r="BG26" s="345" t="s">
        <v>87</v>
      </c>
      <c r="BH26" s="594">
        <f>'PROVENTOS&amp;DESCONTOS'!AR28</f>
        <v>0</v>
      </c>
      <c r="BI26" s="594"/>
      <c r="BJ26" s="595"/>
      <c r="BK26" s="600" t="s">
        <v>39</v>
      </c>
      <c r="BL26" s="600"/>
      <c r="BM26" s="600"/>
      <c r="BN26" s="600"/>
      <c r="BO26" s="345" t="s">
        <v>89</v>
      </c>
      <c r="BP26" s="598">
        <f>GASTOS!AJ151</f>
        <v>0</v>
      </c>
      <c r="BQ26" s="598"/>
      <c r="BR26" s="598"/>
      <c r="BV26" s="345" t="s">
        <v>87</v>
      </c>
      <c r="BW26" s="594">
        <f>'PROVENTOS&amp;DESCONTOS'!AR29</f>
        <v>0</v>
      </c>
      <c r="BX26" s="594"/>
      <c r="BY26" s="595"/>
      <c r="BZ26" s="600" t="s">
        <v>40</v>
      </c>
      <c r="CA26" s="600"/>
      <c r="CB26" s="600"/>
      <c r="CC26" s="600"/>
      <c r="CD26" s="345" t="s">
        <v>89</v>
      </c>
      <c r="CE26" s="598">
        <f>GASTOS!AL151</f>
        <v>0</v>
      </c>
      <c r="CF26" s="598"/>
      <c r="CG26" s="598"/>
      <c r="CK26" s="345" t="s">
        <v>87</v>
      </c>
      <c r="CL26" s="594">
        <f>'PROVENTOS&amp;DESCONTOS'!BV28</f>
        <v>0</v>
      </c>
      <c r="CM26" s="594"/>
      <c r="CN26" s="595"/>
      <c r="CO26" s="600" t="s">
        <v>41</v>
      </c>
      <c r="CP26" s="600"/>
      <c r="CQ26" s="600"/>
      <c r="CR26" s="600"/>
      <c r="CS26" s="345" t="s">
        <v>89</v>
      </c>
      <c r="CT26" s="598">
        <f>GASTOS!BN151</f>
        <v>0</v>
      </c>
      <c r="CU26" s="598"/>
      <c r="CV26" s="598"/>
      <c r="CZ26" s="345" t="s">
        <v>87</v>
      </c>
      <c r="DA26" s="594">
        <f>'PROVENTOS&amp;DESCONTOS'!BV29</f>
        <v>0</v>
      </c>
      <c r="DB26" s="594"/>
      <c r="DC26" s="595"/>
      <c r="DD26" s="600" t="s">
        <v>42</v>
      </c>
      <c r="DE26" s="600"/>
      <c r="DF26" s="600"/>
      <c r="DG26" s="600"/>
      <c r="DH26" s="345" t="s">
        <v>89</v>
      </c>
      <c r="DI26" s="598">
        <f>GASTOS!BP151</f>
        <v>0</v>
      </c>
      <c r="DJ26" s="598"/>
      <c r="DK26" s="598"/>
      <c r="DQ26" s="344"/>
    </row>
    <row r="27" spans="29:121" ht="12.75" customHeight="1">
      <c r="AC27" s="345" t="s">
        <v>88</v>
      </c>
      <c r="AD27" s="572">
        <f>'PROVENTOS&amp;DESCONTOS'!T9</f>
        <v>0</v>
      </c>
      <c r="AE27" s="572"/>
      <c r="AF27" s="572"/>
      <c r="AG27" s="585"/>
      <c r="AH27" s="586"/>
      <c r="AI27" s="586"/>
      <c r="AJ27" s="587"/>
      <c r="AK27" s="599"/>
      <c r="AL27" s="599"/>
      <c r="AM27" s="599"/>
      <c r="AN27" s="599"/>
      <c r="AR27" s="345" t="s">
        <v>88</v>
      </c>
      <c r="AS27" s="572">
        <f>'PROVENTOS&amp;DESCONTOS'!T15</f>
        <v>0</v>
      </c>
      <c r="AT27" s="572"/>
      <c r="AU27" s="572"/>
      <c r="AV27" s="585"/>
      <c r="AW27" s="586"/>
      <c r="AX27" s="586"/>
      <c r="AY27" s="587"/>
      <c r="AZ27" s="602"/>
      <c r="BA27" s="599"/>
      <c r="BB27" s="599"/>
      <c r="BC27" s="599"/>
      <c r="BG27" s="599"/>
      <c r="BH27" s="599"/>
      <c r="BI27" s="599"/>
      <c r="BJ27" s="599"/>
      <c r="BK27" s="601"/>
      <c r="BL27" s="601"/>
      <c r="BM27" s="601"/>
      <c r="BN27" s="601"/>
      <c r="BO27" s="599"/>
      <c r="BP27" s="599"/>
      <c r="BQ27" s="599"/>
      <c r="BR27" s="599"/>
      <c r="BV27" s="599"/>
      <c r="BW27" s="599"/>
      <c r="BX27" s="599"/>
      <c r="BY27" s="599"/>
      <c r="BZ27" s="601"/>
      <c r="CA27" s="601"/>
      <c r="CB27" s="601"/>
      <c r="CC27" s="601"/>
      <c r="CD27" s="599"/>
      <c r="CE27" s="599"/>
      <c r="CF27" s="599"/>
      <c r="CG27" s="599"/>
      <c r="CK27" s="599"/>
      <c r="CL27" s="599"/>
      <c r="CM27" s="599"/>
      <c r="CN27" s="599"/>
      <c r="CO27" s="601"/>
      <c r="CP27" s="601"/>
      <c r="CQ27" s="601"/>
      <c r="CR27" s="601"/>
      <c r="CS27" s="599"/>
      <c r="CT27" s="599"/>
      <c r="CU27" s="599"/>
      <c r="CV27" s="599"/>
      <c r="CZ27" s="599"/>
      <c r="DA27" s="599"/>
      <c r="DB27" s="599"/>
      <c r="DC27" s="599"/>
      <c r="DD27" s="601"/>
      <c r="DE27" s="601"/>
      <c r="DF27" s="601"/>
      <c r="DG27" s="601"/>
      <c r="DH27" s="599"/>
      <c r="DI27" s="599"/>
      <c r="DJ27" s="599"/>
      <c r="DK27" s="599"/>
    </row>
    <row r="28" spans="29:121">
      <c r="AC28" s="346" t="s">
        <v>94</v>
      </c>
      <c r="AD28" s="603">
        <f>'PROVENTOS&amp;DESCONTOS'!U9</f>
        <v>0</v>
      </c>
      <c r="AE28" s="603"/>
      <c r="AF28" s="603"/>
      <c r="AG28" s="573" t="e">
        <f ca="1">AD26+AD27+AD28-AL26-AL28</f>
        <v>#VALUE!</v>
      </c>
      <c r="AH28" s="574"/>
      <c r="AI28" s="574"/>
      <c r="AJ28" s="575"/>
      <c r="AK28" s="345" t="s">
        <v>90</v>
      </c>
      <c r="AL28" s="594"/>
      <c r="AM28" s="594"/>
      <c r="AN28" s="594"/>
      <c r="AR28" s="346" t="s">
        <v>94</v>
      </c>
      <c r="AS28" s="572">
        <f>'PROVENTOS&amp;DESCONTOS'!U15</f>
        <v>0</v>
      </c>
      <c r="AT28" s="572"/>
      <c r="AU28" s="572"/>
      <c r="AV28" s="573" t="e">
        <f ca="1">AS26+AS28+AS27-BA26-BA28</f>
        <v>#VALUE!</v>
      </c>
      <c r="AW28" s="574"/>
      <c r="AX28" s="574"/>
      <c r="AY28" s="575"/>
      <c r="AZ28" s="345" t="s">
        <v>90</v>
      </c>
      <c r="BA28" s="594"/>
      <c r="BB28" s="594"/>
      <c r="BC28" s="594"/>
      <c r="BG28" s="345" t="s">
        <v>88</v>
      </c>
      <c r="BH28" s="594">
        <f>'PROVENTOS&amp;DESCONTOS'!AP28</f>
        <v>0</v>
      </c>
      <c r="BI28" s="594"/>
      <c r="BJ28" s="595"/>
      <c r="BK28" s="596">
        <f>BH26+BH28-BP26-BP28</f>
        <v>0</v>
      </c>
      <c r="BL28" s="596"/>
      <c r="BM28" s="596"/>
      <c r="BN28" s="596"/>
      <c r="BO28" s="345" t="s">
        <v>90</v>
      </c>
      <c r="BP28" s="598">
        <f>'PROVENTOS&amp;DESCONTOS'!AZ28</f>
        <v>0</v>
      </c>
      <c r="BQ28" s="598"/>
      <c r="BR28" s="598"/>
      <c r="BV28" s="345" t="s">
        <v>88</v>
      </c>
      <c r="BW28" s="594">
        <f>'PROVENTOS&amp;DESCONTOS'!AP29</f>
        <v>0</v>
      </c>
      <c r="BX28" s="594"/>
      <c r="BY28" s="595"/>
      <c r="BZ28" s="596">
        <f>BW26+BW28-CE26-CE28</f>
        <v>0</v>
      </c>
      <c r="CA28" s="596"/>
      <c r="CB28" s="596"/>
      <c r="CC28" s="596"/>
      <c r="CD28" s="345" t="s">
        <v>90</v>
      </c>
      <c r="CE28" s="598">
        <f>'PROVENTOS&amp;DESCONTOS'!AZ29</f>
        <v>0</v>
      </c>
      <c r="CF28" s="598"/>
      <c r="CG28" s="598"/>
      <c r="CK28" s="345" t="s">
        <v>88</v>
      </c>
      <c r="CL28" s="594">
        <f>'PROVENTOS&amp;DESCONTOS'!BT28</f>
        <v>0</v>
      </c>
      <c r="CM28" s="594"/>
      <c r="CN28" s="595"/>
      <c r="CO28" s="596">
        <f>CL26+CL28-CT26-CT28</f>
        <v>0</v>
      </c>
      <c r="CP28" s="596"/>
      <c r="CQ28" s="596"/>
      <c r="CR28" s="596"/>
      <c r="CS28" s="345" t="s">
        <v>90</v>
      </c>
      <c r="CT28" s="598">
        <f>'PROVENTOS&amp;DESCONTOS'!CD28</f>
        <v>0</v>
      </c>
      <c r="CU28" s="598"/>
      <c r="CV28" s="598"/>
      <c r="CZ28" s="345" t="s">
        <v>88</v>
      </c>
      <c r="DA28" s="594">
        <f>'PROVENTOS&amp;DESCONTOS'!BT29</f>
        <v>0</v>
      </c>
      <c r="DB28" s="594"/>
      <c r="DC28" s="595"/>
      <c r="DD28" s="596">
        <f>DA26+DA28-DI26-DI28</f>
        <v>0</v>
      </c>
      <c r="DE28" s="596"/>
      <c r="DF28" s="596"/>
      <c r="DG28" s="596"/>
      <c r="DH28" s="345" t="s">
        <v>90</v>
      </c>
      <c r="DI28" s="598">
        <f>'PROVENTOS&amp;DESCONTOS'!CD29</f>
        <v>0</v>
      </c>
      <c r="DJ28" s="598"/>
      <c r="DK28" s="598"/>
      <c r="DQ28" s="344"/>
    </row>
    <row r="29" spans="29:121" ht="15" thickBot="1">
      <c r="AC29" s="340"/>
      <c r="AD29" s="341"/>
      <c r="AE29" s="341"/>
      <c r="AF29" s="342"/>
      <c r="AG29" s="576" t="e">
        <f ca="1">AG28-AD27</f>
        <v>#VALUE!</v>
      </c>
      <c r="AH29" s="577"/>
      <c r="AI29" s="577"/>
      <c r="AJ29" s="578"/>
      <c r="AK29" s="340"/>
      <c r="AL29" s="340"/>
      <c r="AM29" s="340"/>
      <c r="AN29" s="343"/>
      <c r="AR29" s="340"/>
      <c r="AS29" s="572"/>
      <c r="AT29" s="572"/>
      <c r="AU29" s="572"/>
      <c r="AV29" s="576" t="e">
        <f ca="1">AV28-AS27</f>
        <v>#VALUE!</v>
      </c>
      <c r="AW29" s="577"/>
      <c r="AX29" s="577"/>
      <c r="AY29" s="578"/>
      <c r="AZ29" s="348"/>
      <c r="BA29" s="348"/>
      <c r="BB29" s="348"/>
      <c r="BC29" s="343"/>
      <c r="BG29" s="340"/>
      <c r="BH29" s="341"/>
      <c r="BI29" s="341"/>
      <c r="BJ29" s="342"/>
      <c r="BK29" s="597"/>
      <c r="BL29" s="597"/>
      <c r="BM29" s="597"/>
      <c r="BN29" s="597"/>
      <c r="BO29" s="340"/>
      <c r="BP29" s="341"/>
      <c r="BQ29" s="341"/>
      <c r="BR29" s="342"/>
      <c r="BV29" s="340"/>
      <c r="BW29" s="341"/>
      <c r="BX29" s="341"/>
      <c r="BY29" s="342"/>
      <c r="BZ29" s="597"/>
      <c r="CA29" s="597"/>
      <c r="CB29" s="597"/>
      <c r="CC29" s="597"/>
      <c r="CD29" s="340"/>
      <c r="CE29" s="341"/>
      <c r="CF29" s="341"/>
      <c r="CG29" s="342"/>
      <c r="CK29" s="340"/>
      <c r="CL29" s="341"/>
      <c r="CM29" s="341"/>
      <c r="CN29" s="342"/>
      <c r="CO29" s="597"/>
      <c r="CP29" s="597"/>
      <c r="CQ29" s="597"/>
      <c r="CR29" s="597"/>
      <c r="CS29" s="340"/>
      <c r="CT29" s="341"/>
      <c r="CU29" s="341"/>
      <c r="CV29" s="342"/>
      <c r="CZ29" s="340"/>
      <c r="DA29" s="341"/>
      <c r="DB29" s="341"/>
      <c r="DC29" s="342"/>
      <c r="DD29" s="597"/>
      <c r="DE29" s="597"/>
      <c r="DF29" s="597"/>
      <c r="DG29" s="597"/>
      <c r="DH29" s="340"/>
      <c r="DI29" s="341"/>
      <c r="DJ29" s="341"/>
      <c r="DK29" s="342"/>
    </row>
    <row r="30" spans="29:121" ht="15" thickTop="1">
      <c r="AC30" s="340"/>
      <c r="AD30" s="341"/>
      <c r="AE30" s="341"/>
      <c r="AF30" s="341"/>
      <c r="AG30" s="341"/>
      <c r="AH30" s="341"/>
      <c r="AI30" s="341"/>
      <c r="AJ30" s="341"/>
      <c r="AK30" s="340"/>
      <c r="AL30" s="340"/>
      <c r="AM30" s="340"/>
      <c r="AN30" s="340"/>
      <c r="AR30" s="340"/>
      <c r="AS30" s="572" t="e">
        <f ca="1">AV19-AS27</f>
        <v>#VALUE!</v>
      </c>
      <c r="AT30" s="572"/>
      <c r="AU30" s="572"/>
      <c r="AV30" s="341"/>
      <c r="AW30" s="341"/>
      <c r="AX30" s="341"/>
      <c r="AY30" s="341"/>
      <c r="AZ30" s="348"/>
      <c r="BA30" s="348"/>
      <c r="BB30" s="348"/>
      <c r="BC30" s="348"/>
      <c r="BG30" s="340"/>
      <c r="BH30" s="341"/>
      <c r="BI30" s="341"/>
      <c r="BJ30" s="341"/>
      <c r="BK30" s="341"/>
      <c r="BL30" s="341"/>
      <c r="BM30" s="341"/>
      <c r="BN30" s="341"/>
      <c r="BO30" s="341"/>
      <c r="BP30" s="341"/>
      <c r="BQ30" s="341"/>
      <c r="BR30" s="341"/>
      <c r="BV30" s="340"/>
      <c r="BW30" s="341"/>
      <c r="BX30" s="341"/>
      <c r="BY30" s="341"/>
      <c r="BZ30" s="341"/>
      <c r="CA30" s="341"/>
      <c r="CB30" s="341"/>
      <c r="CC30" s="341"/>
      <c r="CD30" s="341"/>
      <c r="CE30" s="341"/>
      <c r="CF30" s="341"/>
      <c r="CG30" s="341"/>
      <c r="CK30" s="340"/>
      <c r="CL30" s="341"/>
      <c r="CM30" s="341"/>
      <c r="CN30" s="341"/>
      <c r="CO30" s="341"/>
      <c r="CP30" s="341"/>
      <c r="CQ30" s="341"/>
      <c r="CR30" s="341"/>
      <c r="CS30" s="341"/>
      <c r="CT30" s="341"/>
      <c r="CU30" s="341"/>
      <c r="CV30" s="341"/>
      <c r="CZ30" s="340"/>
      <c r="DA30" s="341"/>
      <c r="DB30" s="341"/>
      <c r="DC30" s="341"/>
      <c r="DD30" s="341"/>
      <c r="DE30" s="341"/>
      <c r="DF30" s="341"/>
      <c r="DG30" s="341"/>
      <c r="DH30" s="341"/>
      <c r="DI30" s="341"/>
      <c r="DJ30" s="341"/>
      <c r="DK30" s="341"/>
      <c r="DQ30" s="344"/>
    </row>
    <row r="31" spans="29:121" ht="3" customHeight="1">
      <c r="AS31" s="572"/>
      <c r="AT31" s="572"/>
      <c r="AU31" s="572"/>
    </row>
    <row r="32" spans="29:121" ht="3" customHeight="1">
      <c r="AS32" s="572"/>
      <c r="AT32" s="572"/>
      <c r="AU32" s="572"/>
    </row>
    <row r="33" spans="29:121" ht="3" customHeight="1">
      <c r="AS33" s="572"/>
      <c r="AT33" s="572"/>
      <c r="AU33" s="572"/>
    </row>
    <row r="34" spans="29:121" ht="15" thickBot="1">
      <c r="AC34" s="340"/>
      <c r="AD34" s="341"/>
      <c r="AE34" s="341"/>
      <c r="AF34" s="341"/>
      <c r="AG34" s="341"/>
      <c r="AH34" s="341"/>
      <c r="AI34" s="341"/>
      <c r="AJ34" s="341"/>
      <c r="AK34" s="340"/>
      <c r="AL34" s="340"/>
      <c r="AM34" s="340"/>
      <c r="AN34" s="340"/>
      <c r="AR34" s="340"/>
      <c r="AS34" s="572"/>
      <c r="AT34" s="572"/>
      <c r="AU34" s="572"/>
      <c r="AV34" s="341"/>
      <c r="AW34" s="341"/>
      <c r="AX34" s="341"/>
      <c r="AY34" s="341"/>
      <c r="AZ34" s="348"/>
      <c r="BA34" s="348"/>
      <c r="BB34" s="348"/>
      <c r="BC34" s="348"/>
      <c r="BG34" s="340"/>
      <c r="BH34" s="341"/>
      <c r="BI34" s="341"/>
      <c r="BJ34" s="341"/>
      <c r="BK34" s="341"/>
      <c r="BL34" s="341"/>
      <c r="BM34" s="341"/>
      <c r="BN34" s="341"/>
      <c r="BO34" s="341"/>
      <c r="BP34" s="341"/>
      <c r="BQ34" s="341"/>
      <c r="BR34" s="341"/>
      <c r="BV34" s="340"/>
      <c r="BW34" s="341"/>
      <c r="BX34" s="341"/>
      <c r="BY34" s="341"/>
      <c r="BZ34" s="341"/>
      <c r="CA34" s="341"/>
      <c r="CB34" s="341"/>
      <c r="CC34" s="341"/>
      <c r="CD34" s="341"/>
      <c r="CE34" s="341"/>
      <c r="CF34" s="341"/>
      <c r="CG34" s="341"/>
      <c r="CK34" s="340"/>
      <c r="CL34" s="341"/>
      <c r="CM34" s="341"/>
      <c r="CN34" s="341"/>
      <c r="CO34" s="341"/>
      <c r="CP34" s="341"/>
      <c r="CQ34" s="341"/>
      <c r="CR34" s="341"/>
      <c r="CS34" s="341"/>
      <c r="CT34" s="341"/>
      <c r="CU34" s="341"/>
      <c r="CV34" s="341"/>
      <c r="CZ34" s="340"/>
      <c r="DA34" s="341"/>
      <c r="DB34" s="341"/>
      <c r="DC34" s="341"/>
      <c r="DD34" s="341"/>
      <c r="DE34" s="341"/>
      <c r="DF34" s="341"/>
      <c r="DG34" s="341"/>
      <c r="DH34" s="341"/>
      <c r="DI34" s="341"/>
      <c r="DJ34" s="341"/>
      <c r="DK34" s="341"/>
      <c r="DQ34" s="344"/>
    </row>
    <row r="35" spans="29:121" ht="15.75" customHeight="1" thickTop="1">
      <c r="AC35" s="345" t="s">
        <v>87</v>
      </c>
      <c r="AD35" s="572">
        <f>'PROVENTOS&amp;DESCONTOS'!G10</f>
        <v>0</v>
      </c>
      <c r="AE35" s="572"/>
      <c r="AF35" s="604"/>
      <c r="AG35" s="582" t="s">
        <v>40</v>
      </c>
      <c r="AH35" s="583"/>
      <c r="AI35" s="583"/>
      <c r="AJ35" s="584"/>
      <c r="AK35" s="345" t="s">
        <v>89</v>
      </c>
      <c r="AL35" s="572" t="e">
        <f ca="1">GASTOS!K124</f>
        <v>#VALUE!</v>
      </c>
      <c r="AM35" s="572"/>
      <c r="AN35" s="572"/>
      <c r="AR35" s="345" t="s">
        <v>87</v>
      </c>
      <c r="AS35" s="572">
        <f>'PROVENTOS&amp;DESCONTOS'!S16</f>
        <v>0</v>
      </c>
      <c r="AT35" s="572"/>
      <c r="AU35" s="572"/>
      <c r="AV35" s="582" t="s">
        <v>46</v>
      </c>
      <c r="AW35" s="583"/>
      <c r="AX35" s="583"/>
      <c r="AY35" s="584"/>
      <c r="AZ35" s="345" t="s">
        <v>89</v>
      </c>
      <c r="BA35" s="572" t="e">
        <f ca="1">GASTOS!W124</f>
        <v>#VALUE!</v>
      </c>
      <c r="BB35" s="572"/>
      <c r="BC35" s="572"/>
      <c r="BG35" s="345" t="s">
        <v>87</v>
      </c>
      <c r="BH35" s="594">
        <f>'PROVENTOS&amp;DESCONTOS'!AR39</f>
        <v>0</v>
      </c>
      <c r="BI35" s="594"/>
      <c r="BJ35" s="595"/>
      <c r="BK35" s="600" t="s">
        <v>45</v>
      </c>
      <c r="BL35" s="600"/>
      <c r="BM35" s="600"/>
      <c r="BN35" s="600"/>
      <c r="BO35" s="345" t="s">
        <v>89</v>
      </c>
      <c r="BP35" s="598">
        <f>GASTOS!AJ162</f>
        <v>0</v>
      </c>
      <c r="BQ35" s="598"/>
      <c r="BR35" s="598"/>
      <c r="BV35" s="345" t="s">
        <v>87</v>
      </c>
      <c r="BW35" s="594">
        <f>'PROVENTOS&amp;DESCONTOS'!AR40</f>
        <v>0</v>
      </c>
      <c r="BX35" s="594"/>
      <c r="BY35" s="595"/>
      <c r="BZ35" s="600" t="s">
        <v>46</v>
      </c>
      <c r="CA35" s="600"/>
      <c r="CB35" s="600"/>
      <c r="CC35" s="600"/>
      <c r="CD35" s="345" t="s">
        <v>89</v>
      </c>
      <c r="CE35" s="598">
        <f>GASTOS!AL162</f>
        <v>0</v>
      </c>
      <c r="CF35" s="598"/>
      <c r="CG35" s="598"/>
      <c r="CK35" s="345" t="s">
        <v>87</v>
      </c>
      <c r="CL35" s="594">
        <f>'PROVENTOS&amp;DESCONTOS'!BV39</f>
        <v>0</v>
      </c>
      <c r="CM35" s="594"/>
      <c r="CN35" s="595"/>
      <c r="CO35" s="600" t="s">
        <v>47</v>
      </c>
      <c r="CP35" s="600"/>
      <c r="CQ35" s="600"/>
      <c r="CR35" s="600"/>
      <c r="CS35" s="345" t="s">
        <v>89</v>
      </c>
      <c r="CT35" s="598">
        <f>GASTOS!BN162</f>
        <v>0</v>
      </c>
      <c r="CU35" s="598"/>
      <c r="CV35" s="598"/>
      <c r="CZ35" s="345" t="s">
        <v>87</v>
      </c>
      <c r="DA35" s="594">
        <f>'PROVENTOS&amp;DESCONTOS'!BV40</f>
        <v>0</v>
      </c>
      <c r="DB35" s="594"/>
      <c r="DC35" s="595"/>
      <c r="DD35" s="600" t="s">
        <v>48</v>
      </c>
      <c r="DE35" s="600"/>
      <c r="DF35" s="600"/>
      <c r="DG35" s="600"/>
      <c r="DH35" s="345" t="s">
        <v>89</v>
      </c>
      <c r="DI35" s="598">
        <f>GASTOS!BP162</f>
        <v>0</v>
      </c>
      <c r="DJ35" s="598"/>
      <c r="DK35" s="598"/>
      <c r="DQ35" s="344"/>
    </row>
    <row r="36" spans="29:121" ht="12.75" customHeight="1">
      <c r="AC36" s="345" t="s">
        <v>88</v>
      </c>
      <c r="AD36" s="572">
        <f>'PROVENTOS&amp;DESCONTOS'!T10</f>
        <v>0</v>
      </c>
      <c r="AE36" s="572"/>
      <c r="AF36" s="572"/>
      <c r="AG36" s="585"/>
      <c r="AH36" s="586"/>
      <c r="AI36" s="586"/>
      <c r="AJ36" s="587"/>
      <c r="AK36" s="599"/>
      <c r="AL36" s="599"/>
      <c r="AM36" s="599"/>
      <c r="AN36" s="599"/>
      <c r="AR36" s="345" t="s">
        <v>88</v>
      </c>
      <c r="AS36" s="572">
        <f>'PROVENTOS&amp;DESCONTOS'!T16</f>
        <v>0</v>
      </c>
      <c r="AT36" s="572"/>
      <c r="AU36" s="572"/>
      <c r="AV36" s="585"/>
      <c r="AW36" s="586"/>
      <c r="AX36" s="586"/>
      <c r="AY36" s="587"/>
      <c r="AZ36" s="602"/>
      <c r="BA36" s="599"/>
      <c r="BB36" s="599"/>
      <c r="BC36" s="599"/>
      <c r="BG36" s="599"/>
      <c r="BH36" s="599"/>
      <c r="BI36" s="599"/>
      <c r="BJ36" s="599"/>
      <c r="BK36" s="601"/>
      <c r="BL36" s="601"/>
      <c r="BM36" s="601"/>
      <c r="BN36" s="601"/>
      <c r="BO36" s="599"/>
      <c r="BP36" s="599"/>
      <c r="BQ36" s="599"/>
      <c r="BR36" s="599"/>
      <c r="BV36" s="599"/>
      <c r="BW36" s="599"/>
      <c r="BX36" s="599"/>
      <c r="BY36" s="599"/>
      <c r="BZ36" s="601"/>
      <c r="CA36" s="601"/>
      <c r="CB36" s="601"/>
      <c r="CC36" s="601"/>
      <c r="CD36" s="599"/>
      <c r="CE36" s="599"/>
      <c r="CF36" s="599"/>
      <c r="CG36" s="599"/>
      <c r="CK36" s="599"/>
      <c r="CL36" s="599"/>
      <c r="CM36" s="599"/>
      <c r="CN36" s="599"/>
      <c r="CO36" s="601"/>
      <c r="CP36" s="601"/>
      <c r="CQ36" s="601"/>
      <c r="CR36" s="601"/>
      <c r="CS36" s="599"/>
      <c r="CT36" s="599"/>
      <c r="CU36" s="599"/>
      <c r="CV36" s="599"/>
      <c r="CZ36" s="599"/>
      <c r="DA36" s="599"/>
      <c r="DB36" s="599"/>
      <c r="DC36" s="599"/>
      <c r="DD36" s="601"/>
      <c r="DE36" s="601"/>
      <c r="DF36" s="601"/>
      <c r="DG36" s="601"/>
      <c r="DH36" s="599"/>
      <c r="DI36" s="599"/>
      <c r="DJ36" s="599"/>
      <c r="DK36" s="599"/>
      <c r="DQ36" s="344"/>
    </row>
    <row r="37" spans="29:121">
      <c r="AC37" s="346" t="s">
        <v>94</v>
      </c>
      <c r="AD37" s="603">
        <f>'PROVENTOS&amp;DESCONTOS'!U10</f>
        <v>0</v>
      </c>
      <c r="AE37" s="603"/>
      <c r="AF37" s="603"/>
      <c r="AG37" s="573" t="e">
        <f ca="1">AD35+AD36+AD37-AL35-AL37</f>
        <v>#VALUE!</v>
      </c>
      <c r="AH37" s="574"/>
      <c r="AI37" s="574"/>
      <c r="AJ37" s="575"/>
      <c r="AK37" s="345" t="s">
        <v>90</v>
      </c>
      <c r="AL37" s="594"/>
      <c r="AM37" s="594"/>
      <c r="AN37" s="594"/>
      <c r="AR37" s="346" t="s">
        <v>94</v>
      </c>
      <c r="AS37" s="572">
        <f>'PROVENTOS&amp;DESCONTOS'!U16</f>
        <v>0</v>
      </c>
      <c r="AT37" s="572"/>
      <c r="AU37" s="572"/>
      <c r="AV37" s="573" t="e">
        <f ca="1">AS35+AS37+AS36-BA35-BA37</f>
        <v>#VALUE!</v>
      </c>
      <c r="AW37" s="574"/>
      <c r="AX37" s="574"/>
      <c r="AY37" s="575"/>
      <c r="AZ37" s="345" t="s">
        <v>90</v>
      </c>
      <c r="BA37" s="594"/>
      <c r="BB37" s="594"/>
      <c r="BC37" s="594"/>
      <c r="BG37" s="345" t="s">
        <v>88</v>
      </c>
      <c r="BH37" s="594">
        <f>'PROVENTOS&amp;DESCONTOS'!AP39</f>
        <v>0</v>
      </c>
      <c r="BI37" s="594"/>
      <c r="BJ37" s="595"/>
      <c r="BK37" s="596">
        <f>BH35+BH37-BP35-BP37</f>
        <v>0</v>
      </c>
      <c r="BL37" s="596"/>
      <c r="BM37" s="596"/>
      <c r="BN37" s="596"/>
      <c r="BO37" s="345" t="s">
        <v>90</v>
      </c>
      <c r="BP37" s="598">
        <f>'PROVENTOS&amp;DESCONTOS'!AZ39</f>
        <v>0</v>
      </c>
      <c r="BQ37" s="598"/>
      <c r="BR37" s="598"/>
      <c r="BV37" s="345" t="s">
        <v>88</v>
      </c>
      <c r="BW37" s="594">
        <f>'PROVENTOS&amp;DESCONTOS'!AP40</f>
        <v>0</v>
      </c>
      <c r="BX37" s="594"/>
      <c r="BY37" s="595"/>
      <c r="BZ37" s="596">
        <f>BW35+BW37-CE35-CE37</f>
        <v>0</v>
      </c>
      <c r="CA37" s="596"/>
      <c r="CB37" s="596"/>
      <c r="CC37" s="596"/>
      <c r="CD37" s="345" t="s">
        <v>90</v>
      </c>
      <c r="CE37" s="598">
        <f>'PROVENTOS&amp;DESCONTOS'!AZ40</f>
        <v>0</v>
      </c>
      <c r="CF37" s="598"/>
      <c r="CG37" s="598"/>
      <c r="CK37" s="345" t="s">
        <v>88</v>
      </c>
      <c r="CL37" s="594">
        <f>'PROVENTOS&amp;DESCONTOS'!BT39</f>
        <v>0</v>
      </c>
      <c r="CM37" s="594"/>
      <c r="CN37" s="595"/>
      <c r="CO37" s="596">
        <f>CL35+CL37-CT35-CT37</f>
        <v>0</v>
      </c>
      <c r="CP37" s="596"/>
      <c r="CQ37" s="596"/>
      <c r="CR37" s="596"/>
      <c r="CS37" s="345" t="s">
        <v>90</v>
      </c>
      <c r="CT37" s="598">
        <f>'PROVENTOS&amp;DESCONTOS'!CD39</f>
        <v>0</v>
      </c>
      <c r="CU37" s="598"/>
      <c r="CV37" s="598"/>
      <c r="CZ37" s="345" t="s">
        <v>88</v>
      </c>
      <c r="DA37" s="594">
        <f>'PROVENTOS&amp;DESCONTOS'!BT40</f>
        <v>0</v>
      </c>
      <c r="DB37" s="594"/>
      <c r="DC37" s="595"/>
      <c r="DD37" s="596">
        <f>DA35+DA37-DI35-DI37</f>
        <v>0</v>
      </c>
      <c r="DE37" s="596"/>
      <c r="DF37" s="596"/>
      <c r="DG37" s="596"/>
      <c r="DH37" s="345" t="s">
        <v>90</v>
      </c>
      <c r="DI37" s="598">
        <f>'PROVENTOS&amp;DESCONTOS'!CD40</f>
        <v>0</v>
      </c>
      <c r="DJ37" s="598"/>
      <c r="DK37" s="598"/>
    </row>
    <row r="38" spans="29:121" ht="15" thickBot="1">
      <c r="AC38" s="340"/>
      <c r="AD38" s="341"/>
      <c r="AE38" s="341"/>
      <c r="AF38" s="342"/>
      <c r="AG38" s="576" t="e">
        <f ca="1">AG37-AD36</f>
        <v>#VALUE!</v>
      </c>
      <c r="AH38" s="577"/>
      <c r="AI38" s="577"/>
      <c r="AJ38" s="578"/>
      <c r="AK38" s="340"/>
      <c r="AL38" s="340"/>
      <c r="AM38" s="340"/>
      <c r="AN38" s="343"/>
      <c r="AR38" s="340"/>
      <c r="AS38" s="572"/>
      <c r="AT38" s="572"/>
      <c r="AU38" s="572"/>
      <c r="AV38" s="576" t="e">
        <f ca="1">AV37-AS36</f>
        <v>#VALUE!</v>
      </c>
      <c r="AW38" s="577"/>
      <c r="AX38" s="577"/>
      <c r="AY38" s="578"/>
      <c r="AZ38" s="348"/>
      <c r="BA38" s="348"/>
      <c r="BB38" s="348"/>
      <c r="BC38" s="343"/>
      <c r="BG38" s="340"/>
      <c r="BH38" s="341"/>
      <c r="BI38" s="341"/>
      <c r="BJ38" s="342"/>
      <c r="BK38" s="597"/>
      <c r="BL38" s="597"/>
      <c r="BM38" s="597"/>
      <c r="BN38" s="597"/>
      <c r="BO38" s="340"/>
      <c r="BP38" s="341"/>
      <c r="BQ38" s="341"/>
      <c r="BR38" s="342"/>
      <c r="BV38" s="340"/>
      <c r="BW38" s="341"/>
      <c r="BX38" s="341"/>
      <c r="BY38" s="342"/>
      <c r="BZ38" s="597"/>
      <c r="CA38" s="597"/>
      <c r="CB38" s="597"/>
      <c r="CC38" s="597"/>
      <c r="CD38" s="340"/>
      <c r="CE38" s="341"/>
      <c r="CF38" s="341"/>
      <c r="CG38" s="342"/>
      <c r="CK38" s="340"/>
      <c r="CL38" s="341"/>
      <c r="CM38" s="341"/>
      <c r="CN38" s="342"/>
      <c r="CO38" s="597"/>
      <c r="CP38" s="597"/>
      <c r="CQ38" s="597"/>
      <c r="CR38" s="597"/>
      <c r="CS38" s="340"/>
      <c r="CT38" s="341"/>
      <c r="CU38" s="341"/>
      <c r="CV38" s="342"/>
      <c r="CZ38" s="340"/>
      <c r="DA38" s="341"/>
      <c r="DB38" s="341"/>
      <c r="DC38" s="342"/>
      <c r="DD38" s="597"/>
      <c r="DE38" s="597"/>
      <c r="DF38" s="597"/>
      <c r="DG38" s="597"/>
      <c r="DH38" s="340"/>
      <c r="DI38" s="341"/>
      <c r="DJ38" s="341"/>
      <c r="DK38" s="342"/>
    </row>
    <row r="39" spans="29:121" ht="15" thickTop="1">
      <c r="AC39" s="340"/>
      <c r="AD39" s="341"/>
      <c r="AE39" s="341"/>
      <c r="AF39" s="341"/>
      <c r="AG39" s="341"/>
      <c r="AH39" s="341"/>
      <c r="AI39" s="341"/>
      <c r="AJ39" s="341"/>
      <c r="AK39" s="340"/>
      <c r="AL39" s="340"/>
      <c r="AM39" s="340"/>
      <c r="AN39" s="340"/>
      <c r="AR39" s="340"/>
      <c r="AS39" s="572"/>
      <c r="AT39" s="572"/>
      <c r="AU39" s="572"/>
      <c r="AV39" s="341"/>
      <c r="AW39" s="341"/>
      <c r="AX39" s="341"/>
      <c r="AY39" s="341"/>
      <c r="AZ39" s="348"/>
      <c r="BA39" s="348"/>
      <c r="BB39" s="348"/>
      <c r="BC39" s="348"/>
      <c r="BG39" s="340"/>
      <c r="BH39" s="341"/>
      <c r="BI39" s="341"/>
      <c r="BJ39" s="341"/>
      <c r="BK39" s="341"/>
      <c r="BL39" s="341"/>
      <c r="BM39" s="341"/>
      <c r="BN39" s="341"/>
      <c r="BO39" s="341"/>
      <c r="BP39" s="341"/>
      <c r="BQ39" s="341"/>
      <c r="BR39" s="341"/>
      <c r="BV39" s="340"/>
      <c r="BW39" s="341"/>
      <c r="BX39" s="341"/>
      <c r="BY39" s="341"/>
      <c r="BZ39" s="341"/>
      <c r="CA39" s="341"/>
      <c r="CB39" s="341"/>
      <c r="CC39" s="341"/>
      <c r="CD39" s="341"/>
      <c r="CE39" s="341"/>
      <c r="CF39" s="341"/>
      <c r="CG39" s="341"/>
      <c r="CK39" s="340"/>
      <c r="CL39" s="341"/>
      <c r="CM39" s="341"/>
      <c r="CN39" s="341"/>
      <c r="CO39" s="341"/>
      <c r="CP39" s="341"/>
      <c r="CQ39" s="341"/>
      <c r="CR39" s="341"/>
      <c r="CS39" s="341"/>
      <c r="CT39" s="341"/>
      <c r="CU39" s="341"/>
      <c r="CV39" s="341"/>
      <c r="CZ39" s="340"/>
      <c r="DA39" s="341"/>
      <c r="DB39" s="341"/>
      <c r="DC39" s="341"/>
      <c r="DD39" s="341"/>
      <c r="DE39" s="341"/>
      <c r="DF39" s="341"/>
      <c r="DG39" s="341"/>
      <c r="DH39" s="341"/>
      <c r="DI39" s="341"/>
      <c r="DJ39" s="341"/>
      <c r="DK39" s="341"/>
    </row>
    <row r="40" spans="29:121" ht="3" customHeight="1">
      <c r="AS40" s="572"/>
      <c r="AT40" s="572"/>
      <c r="AU40" s="572"/>
    </row>
    <row r="41" spans="29:121" ht="3.75" customHeight="1">
      <c r="AS41" s="572"/>
      <c r="AT41" s="572"/>
      <c r="AU41" s="572"/>
    </row>
    <row r="42" spans="29:121" ht="3" customHeight="1">
      <c r="AS42" s="572"/>
      <c r="AT42" s="572"/>
      <c r="AU42" s="572"/>
    </row>
    <row r="43" spans="29:121" ht="15" thickBot="1">
      <c r="AC43" s="340"/>
      <c r="AD43" s="341"/>
      <c r="AE43" s="341"/>
      <c r="AF43" s="341"/>
      <c r="AG43" s="341"/>
      <c r="AH43" s="341"/>
      <c r="AI43" s="341"/>
      <c r="AJ43" s="341"/>
      <c r="AK43" s="340"/>
      <c r="AL43" s="340"/>
      <c r="AM43" s="340"/>
      <c r="AN43" s="340"/>
      <c r="AR43" s="340"/>
      <c r="AS43" s="572"/>
      <c r="AT43" s="572"/>
      <c r="AU43" s="572"/>
      <c r="AV43" s="341"/>
      <c r="AW43" s="341"/>
      <c r="AX43" s="341"/>
      <c r="AY43" s="341"/>
      <c r="AZ43" s="348"/>
      <c r="BA43" s="348"/>
      <c r="BB43" s="348"/>
      <c r="BC43" s="348"/>
      <c r="BG43" s="340"/>
      <c r="BH43" s="341"/>
      <c r="BI43" s="341"/>
      <c r="BJ43" s="341"/>
      <c r="BK43" s="341"/>
      <c r="BL43" s="341"/>
      <c r="BM43" s="341"/>
      <c r="BN43" s="341"/>
      <c r="BO43" s="341"/>
      <c r="BP43" s="341"/>
      <c r="BQ43" s="341"/>
      <c r="BR43" s="341"/>
      <c r="BV43" s="340"/>
      <c r="BW43" s="341"/>
      <c r="BX43" s="341"/>
      <c r="BY43" s="341"/>
      <c r="BZ43" s="341"/>
      <c r="CA43" s="341"/>
      <c r="CB43" s="341"/>
      <c r="CC43" s="341"/>
      <c r="CD43" s="341"/>
      <c r="CE43" s="341"/>
      <c r="CF43" s="341"/>
      <c r="CG43" s="341"/>
      <c r="CK43" s="340"/>
      <c r="CL43" s="341"/>
      <c r="CM43" s="341"/>
      <c r="CN43" s="341"/>
      <c r="CO43" s="341"/>
      <c r="CP43" s="341"/>
      <c r="CQ43" s="341"/>
      <c r="CR43" s="341"/>
      <c r="CS43" s="341"/>
      <c r="CT43" s="341"/>
      <c r="CU43" s="341"/>
      <c r="CV43" s="341"/>
      <c r="CZ43" s="340"/>
      <c r="DA43" s="341"/>
      <c r="DB43" s="341"/>
      <c r="DC43" s="341"/>
      <c r="DD43" s="341"/>
      <c r="DE43" s="341"/>
      <c r="DF43" s="341"/>
      <c r="DG43" s="341"/>
      <c r="DH43" s="341"/>
      <c r="DI43" s="341"/>
      <c r="DJ43" s="341"/>
      <c r="DK43" s="341"/>
    </row>
    <row r="44" spans="29:121" ht="15.75" customHeight="1" thickTop="1">
      <c r="AC44" s="345" t="s">
        <v>87</v>
      </c>
      <c r="AD44" s="572">
        <f>'PROVENTOS&amp;DESCONTOS'!G11</f>
        <v>0</v>
      </c>
      <c r="AE44" s="572"/>
      <c r="AF44" s="572"/>
      <c r="AG44" s="588" t="s">
        <v>41</v>
      </c>
      <c r="AH44" s="589"/>
      <c r="AI44" s="589"/>
      <c r="AJ44" s="590"/>
      <c r="AK44" s="345" t="s">
        <v>89</v>
      </c>
      <c r="AL44" s="572" t="e">
        <f ca="1">GASTOS!M124</f>
        <v>#VALUE!</v>
      </c>
      <c r="AM44" s="572"/>
      <c r="AN44" s="572"/>
      <c r="AR44" s="345" t="s">
        <v>87</v>
      </c>
      <c r="AS44" s="572">
        <f>'PROVENTOS&amp;DESCONTOS'!S17</f>
        <v>0</v>
      </c>
      <c r="AT44" s="572"/>
      <c r="AU44" s="572"/>
      <c r="AV44" s="582" t="s">
        <v>47</v>
      </c>
      <c r="AW44" s="583"/>
      <c r="AX44" s="583"/>
      <c r="AY44" s="584"/>
      <c r="AZ44" s="345" t="s">
        <v>89</v>
      </c>
      <c r="BA44" s="572" t="e">
        <f ca="1">GASTOS!Y124</f>
        <v>#VALUE!</v>
      </c>
      <c r="BB44" s="572"/>
      <c r="BC44" s="572"/>
      <c r="BG44" s="345" t="s">
        <v>87</v>
      </c>
      <c r="BH44" s="594">
        <f>'PROVENTOS&amp;DESCONTOS'!AR50</f>
        <v>0</v>
      </c>
      <c r="BI44" s="594"/>
      <c r="BJ44" s="595"/>
      <c r="BK44" s="600" t="s">
        <v>39</v>
      </c>
      <c r="BL44" s="600"/>
      <c r="BM44" s="600"/>
      <c r="BN44" s="600"/>
      <c r="BO44" s="345" t="s">
        <v>89</v>
      </c>
      <c r="BP44" s="598">
        <f>GASTOS!AJ173</f>
        <v>0</v>
      </c>
      <c r="BQ44" s="598"/>
      <c r="BR44" s="598"/>
      <c r="BV44" s="345" t="s">
        <v>87</v>
      </c>
      <c r="BW44" s="594">
        <f>'PROVENTOS&amp;DESCONTOS'!AR51</f>
        <v>0</v>
      </c>
      <c r="BX44" s="594"/>
      <c r="BY44" s="595"/>
      <c r="BZ44" s="600" t="s">
        <v>40</v>
      </c>
      <c r="CA44" s="600"/>
      <c r="CB44" s="600"/>
      <c r="CC44" s="600"/>
      <c r="CD44" s="345" t="s">
        <v>89</v>
      </c>
      <c r="CE44" s="598">
        <f>GASTOS!AL173</f>
        <v>0</v>
      </c>
      <c r="CF44" s="598"/>
      <c r="CG44" s="598"/>
      <c r="CK44" s="345" t="s">
        <v>87</v>
      </c>
      <c r="CL44" s="594">
        <f>'PROVENTOS&amp;DESCONTOS'!BV50</f>
        <v>0</v>
      </c>
      <c r="CM44" s="594"/>
      <c r="CN44" s="595"/>
      <c r="CO44" s="600" t="s">
        <v>41</v>
      </c>
      <c r="CP44" s="600"/>
      <c r="CQ44" s="600"/>
      <c r="CR44" s="600"/>
      <c r="CS44" s="345" t="s">
        <v>89</v>
      </c>
      <c r="CT44" s="598">
        <f>GASTOS!BN173</f>
        <v>0</v>
      </c>
      <c r="CU44" s="598"/>
      <c r="CV44" s="598"/>
      <c r="CZ44" s="345" t="s">
        <v>87</v>
      </c>
      <c r="DA44" s="594">
        <f>'PROVENTOS&amp;DESCONTOS'!BV51</f>
        <v>0</v>
      </c>
      <c r="DB44" s="594"/>
      <c r="DC44" s="595"/>
      <c r="DD44" s="600" t="s">
        <v>42</v>
      </c>
      <c r="DE44" s="600"/>
      <c r="DF44" s="600"/>
      <c r="DG44" s="600"/>
      <c r="DH44" s="345" t="s">
        <v>89</v>
      </c>
      <c r="DI44" s="598">
        <f>GASTOS!BP173</f>
        <v>0</v>
      </c>
      <c r="DJ44" s="598"/>
      <c r="DK44" s="598"/>
    </row>
    <row r="45" spans="29:121" ht="12.75" customHeight="1">
      <c r="AC45" s="345" t="s">
        <v>88</v>
      </c>
      <c r="AD45" s="572">
        <f>'PROVENTOS&amp;DESCONTOS'!T11</f>
        <v>0</v>
      </c>
      <c r="AE45" s="572"/>
      <c r="AF45" s="572"/>
      <c r="AG45" s="591"/>
      <c r="AH45" s="592"/>
      <c r="AI45" s="592"/>
      <c r="AJ45" s="593"/>
      <c r="AK45" s="599"/>
      <c r="AL45" s="599"/>
      <c r="AM45" s="599"/>
      <c r="AN45" s="599"/>
      <c r="AR45" s="345" t="s">
        <v>88</v>
      </c>
      <c r="AS45" s="572">
        <f>'PROVENTOS&amp;DESCONTOS'!T17</f>
        <v>0</v>
      </c>
      <c r="AT45" s="572"/>
      <c r="AU45" s="572"/>
      <c r="AV45" s="585"/>
      <c r="AW45" s="586"/>
      <c r="AX45" s="586"/>
      <c r="AY45" s="587"/>
      <c r="AZ45" s="602"/>
      <c r="BA45" s="599"/>
      <c r="BB45" s="599"/>
      <c r="BC45" s="599"/>
      <c r="BG45" s="599"/>
      <c r="BH45" s="599"/>
      <c r="BI45" s="599"/>
      <c r="BJ45" s="599"/>
      <c r="BK45" s="601"/>
      <c r="BL45" s="601"/>
      <c r="BM45" s="601"/>
      <c r="BN45" s="601"/>
      <c r="BO45" s="599"/>
      <c r="BP45" s="599"/>
      <c r="BQ45" s="599"/>
      <c r="BR45" s="599"/>
      <c r="BV45" s="599"/>
      <c r="BW45" s="599"/>
      <c r="BX45" s="599"/>
      <c r="BY45" s="599"/>
      <c r="BZ45" s="601"/>
      <c r="CA45" s="601"/>
      <c r="CB45" s="601"/>
      <c r="CC45" s="601"/>
      <c r="CD45" s="599"/>
      <c r="CE45" s="599"/>
      <c r="CF45" s="599"/>
      <c r="CG45" s="599"/>
      <c r="CK45" s="599"/>
      <c r="CL45" s="599"/>
      <c r="CM45" s="599"/>
      <c r="CN45" s="599"/>
      <c r="CO45" s="601"/>
      <c r="CP45" s="601"/>
      <c r="CQ45" s="601"/>
      <c r="CR45" s="601"/>
      <c r="CS45" s="599"/>
      <c r="CT45" s="599"/>
      <c r="CU45" s="599"/>
      <c r="CV45" s="599"/>
      <c r="CZ45" s="599"/>
      <c r="DA45" s="599"/>
      <c r="DB45" s="599"/>
      <c r="DC45" s="599"/>
      <c r="DD45" s="601"/>
      <c r="DE45" s="601"/>
      <c r="DF45" s="601"/>
      <c r="DG45" s="601"/>
      <c r="DH45" s="599"/>
      <c r="DI45" s="599"/>
      <c r="DJ45" s="599"/>
      <c r="DK45" s="599"/>
    </row>
    <row r="46" spans="29:121">
      <c r="AC46" s="346" t="s">
        <v>94</v>
      </c>
      <c r="AD46" s="572">
        <f>'PROVENTOS&amp;DESCONTOS'!U11</f>
        <v>190</v>
      </c>
      <c r="AE46" s="572"/>
      <c r="AF46" s="572"/>
      <c r="AG46" s="573" t="e">
        <f ca="1">AD44+AD45+AD46-AL44-AL46</f>
        <v>#VALUE!</v>
      </c>
      <c r="AH46" s="574"/>
      <c r="AI46" s="574"/>
      <c r="AJ46" s="575"/>
      <c r="AK46" s="345" t="s">
        <v>90</v>
      </c>
      <c r="AL46" s="594"/>
      <c r="AM46" s="594"/>
      <c r="AN46" s="594"/>
      <c r="AR46" s="346" t="s">
        <v>94</v>
      </c>
      <c r="AS46" s="572">
        <f>'PROVENTOS&amp;DESCONTOS'!U17</f>
        <v>0</v>
      </c>
      <c r="AT46" s="572"/>
      <c r="AU46" s="572"/>
      <c r="AV46" s="573" t="e">
        <f ca="1">AS44+AS46+AS45-BA44-BA46</f>
        <v>#VALUE!</v>
      </c>
      <c r="AW46" s="574"/>
      <c r="AX46" s="574"/>
      <c r="AY46" s="575"/>
      <c r="AZ46" s="345" t="s">
        <v>90</v>
      </c>
      <c r="BA46" s="594"/>
      <c r="BB46" s="594"/>
      <c r="BC46" s="594"/>
      <c r="BG46" s="345" t="s">
        <v>88</v>
      </c>
      <c r="BH46" s="594">
        <f>'PROVENTOS&amp;DESCONTOS'!AP50</f>
        <v>0</v>
      </c>
      <c r="BI46" s="594"/>
      <c r="BJ46" s="595"/>
      <c r="BK46" s="596">
        <f>BH44+BH46-BP44-BP46</f>
        <v>0</v>
      </c>
      <c r="BL46" s="596"/>
      <c r="BM46" s="596"/>
      <c r="BN46" s="596"/>
      <c r="BO46" s="345" t="s">
        <v>90</v>
      </c>
      <c r="BP46" s="598">
        <f>'PROVENTOS&amp;DESCONTOS'!AZ50</f>
        <v>0</v>
      </c>
      <c r="BQ46" s="598"/>
      <c r="BR46" s="598"/>
      <c r="BV46" s="345" t="s">
        <v>88</v>
      </c>
      <c r="BW46" s="594">
        <f>'PROVENTOS&amp;DESCONTOS'!AP51</f>
        <v>0</v>
      </c>
      <c r="BX46" s="594"/>
      <c r="BY46" s="595"/>
      <c r="BZ46" s="596">
        <f>BW44+BW46-CE44-CE46</f>
        <v>0</v>
      </c>
      <c r="CA46" s="596"/>
      <c r="CB46" s="596"/>
      <c r="CC46" s="596"/>
      <c r="CD46" s="345" t="s">
        <v>90</v>
      </c>
      <c r="CE46" s="598">
        <f>'PROVENTOS&amp;DESCONTOS'!AZ51</f>
        <v>0</v>
      </c>
      <c r="CF46" s="598"/>
      <c r="CG46" s="598"/>
      <c r="CK46" s="345" t="s">
        <v>88</v>
      </c>
      <c r="CL46" s="594">
        <f>'PROVENTOS&amp;DESCONTOS'!BT50</f>
        <v>0</v>
      </c>
      <c r="CM46" s="594"/>
      <c r="CN46" s="595"/>
      <c r="CO46" s="596">
        <f>CL44+CL46-CT44-CT46</f>
        <v>0</v>
      </c>
      <c r="CP46" s="596"/>
      <c r="CQ46" s="596"/>
      <c r="CR46" s="596"/>
      <c r="CS46" s="345" t="s">
        <v>90</v>
      </c>
      <c r="CT46" s="598">
        <f>'PROVENTOS&amp;DESCONTOS'!CD50</f>
        <v>0</v>
      </c>
      <c r="CU46" s="598"/>
      <c r="CV46" s="598"/>
      <c r="CZ46" s="345" t="s">
        <v>88</v>
      </c>
      <c r="DA46" s="594">
        <f>'PROVENTOS&amp;DESCONTOS'!BT51</f>
        <v>0</v>
      </c>
      <c r="DB46" s="594"/>
      <c r="DC46" s="595"/>
      <c r="DD46" s="596">
        <f>DA44+DA46-DI44-DI46</f>
        <v>0</v>
      </c>
      <c r="DE46" s="596"/>
      <c r="DF46" s="596"/>
      <c r="DG46" s="596"/>
      <c r="DH46" s="345" t="s">
        <v>90</v>
      </c>
      <c r="DI46" s="598">
        <f>'PROVENTOS&amp;DESCONTOS'!CD51</f>
        <v>0</v>
      </c>
      <c r="DJ46" s="598"/>
      <c r="DK46" s="598"/>
    </row>
    <row r="47" spans="29:121" ht="15" thickBot="1">
      <c r="AC47" s="340"/>
      <c r="AD47" s="341"/>
      <c r="AE47" s="341"/>
      <c r="AF47" s="342"/>
      <c r="AG47" s="576" t="e">
        <f ca="1">AG46-AD45</f>
        <v>#VALUE!</v>
      </c>
      <c r="AH47" s="577"/>
      <c r="AI47" s="577"/>
      <c r="AJ47" s="578"/>
      <c r="AK47" s="340"/>
      <c r="AL47" s="340"/>
      <c r="AM47" s="340"/>
      <c r="AN47" s="343"/>
      <c r="AR47" s="340"/>
      <c r="AS47" s="572"/>
      <c r="AT47" s="572"/>
      <c r="AU47" s="572"/>
      <c r="AV47" s="576" t="e">
        <f ca="1">AV46-AS45</f>
        <v>#VALUE!</v>
      </c>
      <c r="AW47" s="577"/>
      <c r="AX47" s="577"/>
      <c r="AY47" s="578"/>
      <c r="AZ47" s="348"/>
      <c r="BA47" s="348"/>
      <c r="BB47" s="348"/>
      <c r="BC47" s="343"/>
      <c r="BG47" s="340"/>
      <c r="BH47" s="341"/>
      <c r="BI47" s="341"/>
      <c r="BJ47" s="342"/>
      <c r="BK47" s="597"/>
      <c r="BL47" s="597"/>
      <c r="BM47" s="597"/>
      <c r="BN47" s="597"/>
      <c r="BO47" s="340"/>
      <c r="BP47" s="341"/>
      <c r="BQ47" s="341"/>
      <c r="BR47" s="342"/>
      <c r="BV47" s="340"/>
      <c r="BW47" s="341"/>
      <c r="BX47" s="341"/>
      <c r="BY47" s="342"/>
      <c r="BZ47" s="597"/>
      <c r="CA47" s="597"/>
      <c r="CB47" s="597"/>
      <c r="CC47" s="597"/>
      <c r="CD47" s="340"/>
      <c r="CE47" s="341"/>
      <c r="CF47" s="341"/>
      <c r="CG47" s="342"/>
      <c r="CK47" s="340"/>
      <c r="CL47" s="341"/>
      <c r="CM47" s="341"/>
      <c r="CN47" s="342"/>
      <c r="CO47" s="597"/>
      <c r="CP47" s="597"/>
      <c r="CQ47" s="597"/>
      <c r="CR47" s="597"/>
      <c r="CS47" s="340"/>
      <c r="CT47" s="341"/>
      <c r="CU47" s="341"/>
      <c r="CV47" s="342"/>
      <c r="CZ47" s="340"/>
      <c r="DA47" s="341"/>
      <c r="DB47" s="341"/>
      <c r="DC47" s="342"/>
      <c r="DD47" s="597"/>
      <c r="DE47" s="597"/>
      <c r="DF47" s="597"/>
      <c r="DG47" s="597"/>
      <c r="DH47" s="340"/>
      <c r="DI47" s="341"/>
      <c r="DJ47" s="341"/>
      <c r="DK47" s="342"/>
    </row>
    <row r="48" spans="29:121" ht="15" thickTop="1">
      <c r="AC48" s="340"/>
      <c r="AD48" s="341"/>
      <c r="AE48" s="341"/>
      <c r="AF48" s="341"/>
      <c r="AG48" s="341"/>
      <c r="AH48" s="341"/>
      <c r="AI48" s="341"/>
      <c r="AJ48" s="341"/>
      <c r="AK48" s="340"/>
      <c r="AL48" s="340"/>
      <c r="AM48" s="340"/>
      <c r="AN48" s="340"/>
      <c r="AR48" s="340"/>
      <c r="AS48" s="572"/>
      <c r="AT48" s="572"/>
      <c r="AU48" s="572"/>
      <c r="AV48" s="341"/>
      <c r="AW48" s="341"/>
      <c r="AX48" s="341"/>
      <c r="AY48" s="341"/>
      <c r="AZ48" s="348"/>
      <c r="BA48" s="348"/>
      <c r="BB48" s="348"/>
      <c r="BC48" s="348"/>
      <c r="BG48" s="340"/>
      <c r="BH48" s="341"/>
      <c r="BI48" s="341"/>
      <c r="BJ48" s="341"/>
      <c r="BK48" s="341"/>
      <c r="BL48" s="341"/>
      <c r="BM48" s="341"/>
      <c r="BN48" s="341"/>
      <c r="BO48" s="341"/>
      <c r="BP48" s="341"/>
      <c r="BQ48" s="341"/>
      <c r="BR48" s="341"/>
      <c r="BV48" s="340"/>
      <c r="BW48" s="341"/>
      <c r="BX48" s="341"/>
      <c r="BY48" s="341"/>
      <c r="BZ48" s="341"/>
      <c r="CA48" s="341"/>
      <c r="CB48" s="341"/>
      <c r="CC48" s="341"/>
      <c r="CD48" s="341"/>
      <c r="CE48" s="341"/>
      <c r="CF48" s="341"/>
      <c r="CG48" s="341"/>
      <c r="CK48" s="340"/>
      <c r="CL48" s="341"/>
      <c r="CM48" s="341"/>
      <c r="CN48" s="341"/>
      <c r="CO48" s="341"/>
      <c r="CP48" s="341"/>
      <c r="CQ48" s="341"/>
      <c r="CR48" s="341"/>
      <c r="CS48" s="341"/>
      <c r="CT48" s="341"/>
      <c r="CU48" s="341"/>
      <c r="CV48" s="341"/>
      <c r="CZ48" s="340"/>
      <c r="DA48" s="341"/>
      <c r="DB48" s="341"/>
      <c r="DC48" s="341"/>
      <c r="DD48" s="341"/>
      <c r="DE48" s="341"/>
      <c r="DF48" s="341"/>
      <c r="DG48" s="341"/>
      <c r="DH48" s="341"/>
      <c r="DI48" s="341"/>
      <c r="DJ48" s="341"/>
      <c r="DK48" s="341"/>
    </row>
    <row r="49" spans="29:115" ht="3" customHeight="1">
      <c r="AS49" s="572"/>
      <c r="AT49" s="572"/>
      <c r="AU49" s="572"/>
    </row>
    <row r="50" spans="29:115" ht="4.5" customHeight="1">
      <c r="AS50" s="572"/>
      <c r="AT50" s="572"/>
      <c r="AU50" s="572"/>
    </row>
    <row r="51" spans="29:115" ht="3" customHeight="1">
      <c r="AS51" s="572"/>
      <c r="AT51" s="572"/>
      <c r="AU51" s="572"/>
    </row>
    <row r="52" spans="29:115" ht="15" thickBot="1">
      <c r="AC52" s="340"/>
      <c r="AD52" s="341"/>
      <c r="AE52" s="341"/>
      <c r="AF52" s="341"/>
      <c r="AG52" s="341"/>
      <c r="AH52" s="341"/>
      <c r="AI52" s="341"/>
      <c r="AJ52" s="341"/>
      <c r="AK52" s="340"/>
      <c r="AL52" s="340"/>
      <c r="AM52" s="340"/>
      <c r="AN52" s="340"/>
      <c r="AR52" s="340"/>
      <c r="AS52" s="572"/>
      <c r="AT52" s="572"/>
      <c r="AU52" s="572"/>
      <c r="AV52" s="341"/>
      <c r="AW52" s="341"/>
      <c r="AX52" s="341"/>
      <c r="AY52" s="341"/>
      <c r="AZ52" s="348"/>
      <c r="BA52" s="348"/>
      <c r="BB52" s="348"/>
      <c r="BC52" s="348"/>
      <c r="BG52" s="340"/>
      <c r="BH52" s="341"/>
      <c r="BI52" s="341"/>
      <c r="BJ52" s="341"/>
      <c r="BK52" s="341"/>
      <c r="BL52" s="341"/>
      <c r="BM52" s="341"/>
      <c r="BN52" s="341"/>
      <c r="BO52" s="341"/>
      <c r="BP52" s="341"/>
      <c r="BQ52" s="341"/>
      <c r="BR52" s="341"/>
      <c r="BV52" s="340"/>
      <c r="BW52" s="341"/>
      <c r="BX52" s="341"/>
      <c r="BY52" s="341"/>
      <c r="BZ52" s="341"/>
      <c r="CA52" s="341"/>
      <c r="CB52" s="341"/>
      <c r="CC52" s="341"/>
      <c r="CD52" s="341"/>
      <c r="CE52" s="341"/>
      <c r="CF52" s="341"/>
      <c r="CG52" s="341"/>
      <c r="CK52" s="340"/>
      <c r="CL52" s="341"/>
      <c r="CM52" s="341"/>
      <c r="CN52" s="341"/>
      <c r="CO52" s="341"/>
      <c r="CP52" s="341"/>
      <c r="CQ52" s="341"/>
      <c r="CR52" s="341"/>
      <c r="CS52" s="341"/>
      <c r="CT52" s="341"/>
      <c r="CU52" s="341"/>
      <c r="CV52" s="341"/>
      <c r="CZ52" s="340"/>
      <c r="DA52" s="341"/>
      <c r="DB52" s="341"/>
      <c r="DC52" s="341"/>
      <c r="DD52" s="341"/>
      <c r="DE52" s="341"/>
      <c r="DF52" s="341"/>
      <c r="DG52" s="341"/>
      <c r="DH52" s="341"/>
      <c r="DI52" s="341"/>
      <c r="DJ52" s="341"/>
      <c r="DK52" s="341"/>
    </row>
    <row r="53" spans="29:115" ht="15.75" customHeight="1" thickTop="1">
      <c r="AC53" s="345" t="s">
        <v>87</v>
      </c>
      <c r="AD53" s="572">
        <f>'PROVENTOS&amp;DESCONTOS'!G12</f>
        <v>0</v>
      </c>
      <c r="AE53" s="572"/>
      <c r="AF53" s="572"/>
      <c r="AG53" s="582" t="s">
        <v>42</v>
      </c>
      <c r="AH53" s="583"/>
      <c r="AI53" s="583"/>
      <c r="AJ53" s="584"/>
      <c r="AK53" s="345" t="s">
        <v>89</v>
      </c>
      <c r="AL53" s="572" t="e">
        <f ca="1">GASTOS!O124</f>
        <v>#VALUE!</v>
      </c>
      <c r="AM53" s="572"/>
      <c r="AN53" s="572"/>
      <c r="AR53" s="345" t="s">
        <v>87</v>
      </c>
      <c r="AS53" s="572">
        <f>'PROVENTOS&amp;DESCONTOS'!E18</f>
        <v>0</v>
      </c>
      <c r="AT53" s="572"/>
      <c r="AU53" s="572"/>
      <c r="AV53" s="582" t="s">
        <v>48</v>
      </c>
      <c r="AW53" s="583"/>
      <c r="AX53" s="583"/>
      <c r="AY53" s="584"/>
      <c r="AZ53" s="345" t="s">
        <v>89</v>
      </c>
      <c r="BA53" s="572" t="e">
        <f ca="1">GASTOS!AA124</f>
        <v>#VALUE!</v>
      </c>
      <c r="BB53" s="572"/>
      <c r="BC53" s="572"/>
      <c r="BG53" s="345" t="s">
        <v>87</v>
      </c>
      <c r="BH53" s="594">
        <f>'PROVENTOS&amp;DESCONTOS'!AR61</f>
        <v>0</v>
      </c>
      <c r="BI53" s="594"/>
      <c r="BJ53" s="595"/>
      <c r="BK53" s="600" t="s">
        <v>45</v>
      </c>
      <c r="BL53" s="600"/>
      <c r="BM53" s="600"/>
      <c r="BN53" s="600"/>
      <c r="BO53" s="345" t="s">
        <v>89</v>
      </c>
      <c r="BP53" s="598">
        <f>GASTOS!AJ184</f>
        <v>0</v>
      </c>
      <c r="BQ53" s="598"/>
      <c r="BR53" s="598"/>
      <c r="BV53" s="345" t="s">
        <v>87</v>
      </c>
      <c r="BW53" s="594">
        <f>'PROVENTOS&amp;DESCONTOS'!AR62</f>
        <v>0</v>
      </c>
      <c r="BX53" s="594"/>
      <c r="BY53" s="595"/>
      <c r="BZ53" s="600" t="s">
        <v>46</v>
      </c>
      <c r="CA53" s="600"/>
      <c r="CB53" s="600"/>
      <c r="CC53" s="600"/>
      <c r="CD53" s="345" t="s">
        <v>89</v>
      </c>
      <c r="CE53" s="598">
        <f>GASTOS!AL184</f>
        <v>0</v>
      </c>
      <c r="CF53" s="598"/>
      <c r="CG53" s="598"/>
      <c r="CK53" s="345" t="s">
        <v>87</v>
      </c>
      <c r="CL53" s="594">
        <f>'PROVENTOS&amp;DESCONTOS'!BV61</f>
        <v>0</v>
      </c>
      <c r="CM53" s="594"/>
      <c r="CN53" s="595"/>
      <c r="CO53" s="600" t="s">
        <v>47</v>
      </c>
      <c r="CP53" s="600"/>
      <c r="CQ53" s="600"/>
      <c r="CR53" s="600"/>
      <c r="CS53" s="345" t="s">
        <v>89</v>
      </c>
      <c r="CT53" s="598">
        <f>GASTOS!BN184</f>
        <v>0</v>
      </c>
      <c r="CU53" s="598"/>
      <c r="CV53" s="598"/>
      <c r="CZ53" s="345" t="s">
        <v>87</v>
      </c>
      <c r="DA53" s="594">
        <f>'PROVENTOS&amp;DESCONTOS'!BV62</f>
        <v>0</v>
      </c>
      <c r="DB53" s="594"/>
      <c r="DC53" s="595"/>
      <c r="DD53" s="600" t="s">
        <v>48</v>
      </c>
      <c r="DE53" s="600"/>
      <c r="DF53" s="600"/>
      <c r="DG53" s="600"/>
      <c r="DH53" s="345" t="s">
        <v>89</v>
      </c>
      <c r="DI53" s="598">
        <f>GASTOS!BP184</f>
        <v>0</v>
      </c>
      <c r="DJ53" s="598"/>
      <c r="DK53" s="598"/>
    </row>
    <row r="54" spans="29:115" ht="12.75" customHeight="1">
      <c r="AC54" s="345" t="s">
        <v>88</v>
      </c>
      <c r="AD54" s="572">
        <f>'PROVENTOS&amp;DESCONTOS'!T12</f>
        <v>0</v>
      </c>
      <c r="AE54" s="572"/>
      <c r="AF54" s="572"/>
      <c r="AG54" s="585"/>
      <c r="AH54" s="586"/>
      <c r="AI54" s="586"/>
      <c r="AJ54" s="587"/>
      <c r="AK54" s="602"/>
      <c r="AL54" s="599"/>
      <c r="AM54" s="599"/>
      <c r="AN54" s="599"/>
      <c r="AR54" s="345" t="s">
        <v>88</v>
      </c>
      <c r="AS54" s="572">
        <f>'PROVENTOS&amp;DESCONTOS'!T18</f>
        <v>0</v>
      </c>
      <c r="AT54" s="572"/>
      <c r="AU54" s="572"/>
      <c r="AV54" s="585"/>
      <c r="AW54" s="586"/>
      <c r="AX54" s="586"/>
      <c r="AY54" s="587"/>
      <c r="AZ54" s="602"/>
      <c r="BA54" s="599"/>
      <c r="BB54" s="599"/>
      <c r="BC54" s="599"/>
      <c r="BG54" s="599"/>
      <c r="BH54" s="599"/>
      <c r="BI54" s="599"/>
      <c r="BJ54" s="599"/>
      <c r="BK54" s="601"/>
      <c r="BL54" s="601"/>
      <c r="BM54" s="601"/>
      <c r="BN54" s="601"/>
      <c r="BO54" s="599"/>
      <c r="BP54" s="599"/>
      <c r="BQ54" s="599"/>
      <c r="BR54" s="599"/>
      <c r="BV54" s="599"/>
      <c r="BW54" s="599"/>
      <c r="BX54" s="599"/>
      <c r="BY54" s="599"/>
      <c r="BZ54" s="601"/>
      <c r="CA54" s="601"/>
      <c r="CB54" s="601"/>
      <c r="CC54" s="601"/>
      <c r="CD54" s="599"/>
      <c r="CE54" s="599"/>
      <c r="CF54" s="599"/>
      <c r="CG54" s="599"/>
      <c r="CK54" s="599"/>
      <c r="CL54" s="599"/>
      <c r="CM54" s="599"/>
      <c r="CN54" s="599"/>
      <c r="CO54" s="601"/>
      <c r="CP54" s="601"/>
      <c r="CQ54" s="601"/>
      <c r="CR54" s="601"/>
      <c r="CS54" s="599"/>
      <c r="CT54" s="599"/>
      <c r="CU54" s="599"/>
      <c r="CV54" s="599"/>
      <c r="CZ54" s="599"/>
      <c r="DA54" s="599"/>
      <c r="DB54" s="599"/>
      <c r="DC54" s="599"/>
      <c r="DD54" s="601"/>
      <c r="DE54" s="601"/>
      <c r="DF54" s="601"/>
      <c r="DG54" s="601"/>
      <c r="DH54" s="599"/>
      <c r="DI54" s="599"/>
      <c r="DJ54" s="599"/>
      <c r="DK54" s="599"/>
    </row>
    <row r="55" spans="29:115">
      <c r="AC55" s="346" t="s">
        <v>94</v>
      </c>
      <c r="AD55" s="572">
        <f>'PROVENTOS&amp;DESCONTOS'!U12</f>
        <v>0</v>
      </c>
      <c r="AE55" s="572"/>
      <c r="AF55" s="572"/>
      <c r="AG55" s="573" t="e">
        <f ca="1">AD53+AD55+AD54-AL53-AL55</f>
        <v>#VALUE!</v>
      </c>
      <c r="AH55" s="574"/>
      <c r="AI55" s="574"/>
      <c r="AJ55" s="575"/>
      <c r="AK55" s="345" t="s">
        <v>90</v>
      </c>
      <c r="AL55" s="594"/>
      <c r="AM55" s="594"/>
      <c r="AN55" s="594"/>
      <c r="AR55" s="346" t="s">
        <v>94</v>
      </c>
      <c r="AS55" s="572">
        <f>'PROVENTOS&amp;DESCONTOS'!U18</f>
        <v>0</v>
      </c>
      <c r="AT55" s="572"/>
      <c r="AU55" s="572"/>
      <c r="AV55" s="573" t="e">
        <f ca="1">AS53+AS55+AS54-BA53-BA55</f>
        <v>#VALUE!</v>
      </c>
      <c r="AW55" s="574"/>
      <c r="AX55" s="574"/>
      <c r="AY55" s="575"/>
      <c r="AZ55" s="345" t="s">
        <v>90</v>
      </c>
      <c r="BA55" s="594"/>
      <c r="BB55" s="594"/>
      <c r="BC55" s="594"/>
      <c r="BG55" s="345" t="s">
        <v>88</v>
      </c>
      <c r="BH55" s="594">
        <f>'PROVENTOS&amp;DESCONTOS'!AP61</f>
        <v>0</v>
      </c>
      <c r="BI55" s="594"/>
      <c r="BJ55" s="595"/>
      <c r="BK55" s="596">
        <f>BH53+BH55-BP53-BP55</f>
        <v>0</v>
      </c>
      <c r="BL55" s="596"/>
      <c r="BM55" s="596"/>
      <c r="BN55" s="596"/>
      <c r="BO55" s="345" t="s">
        <v>90</v>
      </c>
      <c r="BP55" s="598">
        <f>'PROVENTOS&amp;DESCONTOS'!AZ61</f>
        <v>0</v>
      </c>
      <c r="BQ55" s="598"/>
      <c r="BR55" s="598"/>
      <c r="BV55" s="345" t="s">
        <v>88</v>
      </c>
      <c r="BW55" s="594">
        <f>'PROVENTOS&amp;DESCONTOS'!AP62</f>
        <v>0</v>
      </c>
      <c r="BX55" s="594"/>
      <c r="BY55" s="595"/>
      <c r="BZ55" s="596">
        <f>BW53+BW55-CE53-CE55</f>
        <v>0</v>
      </c>
      <c r="CA55" s="596"/>
      <c r="CB55" s="596"/>
      <c r="CC55" s="596"/>
      <c r="CD55" s="345" t="s">
        <v>90</v>
      </c>
      <c r="CE55" s="598">
        <f>'PROVENTOS&amp;DESCONTOS'!AZ62</f>
        <v>0</v>
      </c>
      <c r="CF55" s="598"/>
      <c r="CG55" s="598"/>
      <c r="CK55" s="345" t="s">
        <v>88</v>
      </c>
      <c r="CL55" s="594">
        <f>'PROVENTOS&amp;DESCONTOS'!BT61</f>
        <v>0</v>
      </c>
      <c r="CM55" s="594"/>
      <c r="CN55" s="595"/>
      <c r="CO55" s="596">
        <f>CL53+CL55-CT53-CT55</f>
        <v>0</v>
      </c>
      <c r="CP55" s="596"/>
      <c r="CQ55" s="596"/>
      <c r="CR55" s="596"/>
      <c r="CS55" s="345" t="s">
        <v>90</v>
      </c>
      <c r="CT55" s="598">
        <f>'PROVENTOS&amp;DESCONTOS'!CD61</f>
        <v>0</v>
      </c>
      <c r="CU55" s="598"/>
      <c r="CV55" s="598"/>
      <c r="CZ55" s="345" t="s">
        <v>88</v>
      </c>
      <c r="DA55" s="594">
        <f>'PROVENTOS&amp;DESCONTOS'!BT62</f>
        <v>0</v>
      </c>
      <c r="DB55" s="594"/>
      <c r="DC55" s="595"/>
      <c r="DD55" s="596">
        <f>DA53+DA55-DI53-DI55</f>
        <v>0</v>
      </c>
      <c r="DE55" s="596"/>
      <c r="DF55" s="596"/>
      <c r="DG55" s="596"/>
      <c r="DH55" s="345" t="s">
        <v>90</v>
      </c>
      <c r="DI55" s="598">
        <f>'PROVENTOS&amp;DESCONTOS'!CD62</f>
        <v>0</v>
      </c>
      <c r="DJ55" s="598"/>
      <c r="DK55" s="598"/>
    </row>
    <row r="56" spans="29:115" ht="15" thickBot="1">
      <c r="AC56" s="340"/>
      <c r="AD56" s="572"/>
      <c r="AE56" s="572"/>
      <c r="AF56" s="572"/>
      <c r="AG56" s="579" t="e">
        <f ca="1">AG55-AD54</f>
        <v>#VALUE!</v>
      </c>
      <c r="AH56" s="580"/>
      <c r="AI56" s="580"/>
      <c r="AJ56" s="581"/>
      <c r="AK56" s="340"/>
      <c r="AL56" s="340"/>
      <c r="AM56" s="340"/>
      <c r="AN56" s="343"/>
      <c r="AR56" s="340"/>
      <c r="AS56" s="572"/>
      <c r="AT56" s="572"/>
      <c r="AU56" s="572"/>
      <c r="AV56" s="576" t="e">
        <f ca="1">AV55-AS54</f>
        <v>#VALUE!</v>
      </c>
      <c r="AW56" s="577"/>
      <c r="AX56" s="577"/>
      <c r="AY56" s="578"/>
      <c r="AZ56" s="348"/>
      <c r="BA56" s="348"/>
      <c r="BB56" s="348"/>
      <c r="BC56" s="343"/>
      <c r="BG56" s="340"/>
      <c r="BH56" s="341"/>
      <c r="BI56" s="341"/>
      <c r="BJ56" s="342"/>
      <c r="BK56" s="597"/>
      <c r="BL56" s="597"/>
      <c r="BM56" s="597"/>
      <c r="BN56" s="597"/>
      <c r="BO56" s="340"/>
      <c r="BP56" s="341"/>
      <c r="BQ56" s="341"/>
      <c r="BR56" s="342"/>
      <c r="BV56" s="340"/>
      <c r="BW56" s="341"/>
      <c r="BX56" s="341"/>
      <c r="BY56" s="342"/>
      <c r="BZ56" s="597"/>
      <c r="CA56" s="597"/>
      <c r="CB56" s="597"/>
      <c r="CC56" s="597"/>
      <c r="CD56" s="340"/>
      <c r="CE56" s="341"/>
      <c r="CF56" s="341"/>
      <c r="CG56" s="342"/>
      <c r="CK56" s="340"/>
      <c r="CL56" s="341"/>
      <c r="CM56" s="341"/>
      <c r="CN56" s="342"/>
      <c r="CO56" s="597"/>
      <c r="CP56" s="597"/>
      <c r="CQ56" s="597"/>
      <c r="CR56" s="597"/>
      <c r="CS56" s="340"/>
      <c r="CT56" s="341"/>
      <c r="CU56" s="341"/>
      <c r="CV56" s="342"/>
      <c r="CZ56" s="340"/>
      <c r="DA56" s="341"/>
      <c r="DB56" s="341"/>
      <c r="DC56" s="342"/>
      <c r="DD56" s="597"/>
      <c r="DE56" s="597"/>
      <c r="DF56" s="597"/>
      <c r="DG56" s="597"/>
      <c r="DH56" s="340"/>
      <c r="DI56" s="341"/>
      <c r="DJ56" s="341"/>
      <c r="DK56" s="342"/>
    </row>
    <row r="57" spans="29:115" ht="15" thickTop="1">
      <c r="AC57" s="340"/>
      <c r="AD57" s="341"/>
      <c r="AE57" s="341"/>
      <c r="AF57" s="341"/>
      <c r="AG57" s="341"/>
      <c r="AH57" s="341"/>
      <c r="AI57" s="341"/>
      <c r="AJ57" s="341"/>
      <c r="AK57" s="340"/>
      <c r="AL57" s="340"/>
      <c r="AM57" s="340"/>
      <c r="AN57" s="340"/>
      <c r="AR57" s="340"/>
      <c r="AS57" s="572"/>
      <c r="AT57" s="572"/>
      <c r="AU57" s="572"/>
      <c r="AV57" s="341"/>
      <c r="AW57" s="341"/>
      <c r="AX57" s="341"/>
      <c r="AY57" s="341"/>
      <c r="AZ57" s="348"/>
      <c r="BA57" s="348"/>
      <c r="BB57" s="348"/>
      <c r="BC57" s="348"/>
      <c r="BG57" s="340"/>
      <c r="BH57" s="341"/>
      <c r="BI57" s="341"/>
      <c r="BJ57" s="341"/>
      <c r="BK57" s="341"/>
      <c r="BL57" s="341"/>
      <c r="BM57" s="341"/>
      <c r="BN57" s="341"/>
      <c r="BO57" s="341"/>
      <c r="BP57" s="341"/>
      <c r="BQ57" s="341"/>
      <c r="BR57" s="341"/>
      <c r="BV57" s="340"/>
      <c r="BW57" s="341"/>
      <c r="BX57" s="341"/>
      <c r="BY57" s="341"/>
      <c r="BZ57" s="341"/>
      <c r="CA57" s="341"/>
      <c r="CB57" s="341"/>
      <c r="CC57" s="341"/>
      <c r="CD57" s="341"/>
      <c r="CE57" s="341"/>
      <c r="CF57" s="341"/>
      <c r="CG57" s="341"/>
      <c r="CK57" s="340"/>
      <c r="CL57" s="341"/>
      <c r="CM57" s="341"/>
      <c r="CN57" s="341"/>
      <c r="CO57" s="341"/>
      <c r="CP57" s="341"/>
      <c r="CQ57" s="341"/>
      <c r="CR57" s="341"/>
      <c r="CS57" s="341"/>
      <c r="CT57" s="341"/>
      <c r="CU57" s="341"/>
      <c r="CV57" s="341"/>
      <c r="CZ57" s="340"/>
      <c r="DA57" s="341"/>
      <c r="DB57" s="341"/>
      <c r="DC57" s="341"/>
      <c r="DD57" s="341"/>
      <c r="DE57" s="341"/>
      <c r="DF57" s="341"/>
      <c r="DG57" s="341"/>
      <c r="DH57" s="341"/>
      <c r="DI57" s="341"/>
      <c r="DJ57" s="341"/>
      <c r="DK57" s="341"/>
    </row>
    <row r="58" spans="29:115" ht="3" customHeight="1"/>
  </sheetData>
  <mergeCells count="327">
    <mergeCell ref="AV55:AY55"/>
    <mergeCell ref="AV56:AY56"/>
    <mergeCell ref="AG8:AJ9"/>
    <mergeCell ref="AD9:AF9"/>
    <mergeCell ref="AD8:AF8"/>
    <mergeCell ref="BA8:BC8"/>
    <mergeCell ref="AZ9:BC9"/>
    <mergeCell ref="AS10:AU10"/>
    <mergeCell ref="BA10:BC10"/>
    <mergeCell ref="AS8:AU8"/>
    <mergeCell ref="AV8:AY9"/>
    <mergeCell ref="AL8:AN8"/>
    <mergeCell ref="AK9:AN9"/>
    <mergeCell ref="AL10:AN10"/>
    <mergeCell ref="AD10:AF10"/>
    <mergeCell ref="AS9:AU9"/>
    <mergeCell ref="AG10:AJ10"/>
    <mergeCell ref="AG11:AJ11"/>
    <mergeCell ref="AV10:AY10"/>
    <mergeCell ref="AV11:AY11"/>
    <mergeCell ref="AD17:AF17"/>
    <mergeCell ref="AG17:AJ18"/>
    <mergeCell ref="AL17:AN17"/>
    <mergeCell ref="AS17:AU17"/>
    <mergeCell ref="BH10:BJ10"/>
    <mergeCell ref="BK10:BN11"/>
    <mergeCell ref="BP10:BR10"/>
    <mergeCell ref="BW10:BY10"/>
    <mergeCell ref="BZ10:CC11"/>
    <mergeCell ref="CE10:CG10"/>
    <mergeCell ref="BH8:BJ8"/>
    <mergeCell ref="BK8:BN9"/>
    <mergeCell ref="BP8:BR8"/>
    <mergeCell ref="BW8:BY8"/>
    <mergeCell ref="BZ8:CC9"/>
    <mergeCell ref="CE8:CG8"/>
    <mergeCell ref="BG9:BJ9"/>
    <mergeCell ref="BO9:BR9"/>
    <mergeCell ref="BV9:BY9"/>
    <mergeCell ref="CD9:CG9"/>
    <mergeCell ref="CL10:CN10"/>
    <mergeCell ref="CO10:CR11"/>
    <mergeCell ref="CT10:CV10"/>
    <mergeCell ref="DA10:DC10"/>
    <mergeCell ref="DD10:DG11"/>
    <mergeCell ref="DI10:DK10"/>
    <mergeCell ref="CL8:CN8"/>
    <mergeCell ref="CO8:CR9"/>
    <mergeCell ref="CT8:CV8"/>
    <mergeCell ref="DA8:DC8"/>
    <mergeCell ref="DD8:DG9"/>
    <mergeCell ref="DI8:DK8"/>
    <mergeCell ref="CK9:CN9"/>
    <mergeCell ref="CS9:CV9"/>
    <mergeCell ref="CZ9:DC9"/>
    <mergeCell ref="DH9:DK9"/>
    <mergeCell ref="DA17:DC17"/>
    <mergeCell ref="DD17:DG18"/>
    <mergeCell ref="DI17:DK17"/>
    <mergeCell ref="CK18:CN18"/>
    <mergeCell ref="CS18:CV18"/>
    <mergeCell ref="CZ18:DC18"/>
    <mergeCell ref="DH18:DK18"/>
    <mergeCell ref="BH17:BJ17"/>
    <mergeCell ref="BK17:BN18"/>
    <mergeCell ref="BP17:BR17"/>
    <mergeCell ref="BW17:BY17"/>
    <mergeCell ref="BZ17:CC18"/>
    <mergeCell ref="CE17:CG17"/>
    <mergeCell ref="BG18:BJ18"/>
    <mergeCell ref="BO18:BR18"/>
    <mergeCell ref="BV18:BY18"/>
    <mergeCell ref="CD18:CG18"/>
    <mergeCell ref="CL17:CN17"/>
    <mergeCell ref="CO17:CR18"/>
    <mergeCell ref="CT17:CV17"/>
    <mergeCell ref="AV17:AY18"/>
    <mergeCell ref="BA17:BC17"/>
    <mergeCell ref="AK18:AN18"/>
    <mergeCell ref="AZ18:BC18"/>
    <mergeCell ref="AD18:AF18"/>
    <mergeCell ref="AS18:AU18"/>
    <mergeCell ref="DD19:DG20"/>
    <mergeCell ref="DI19:DK19"/>
    <mergeCell ref="BH19:BJ19"/>
    <mergeCell ref="BK19:BN20"/>
    <mergeCell ref="BP19:BR19"/>
    <mergeCell ref="BW19:BY19"/>
    <mergeCell ref="BZ19:CC20"/>
    <mergeCell ref="CE19:CG19"/>
    <mergeCell ref="AD19:AF19"/>
    <mergeCell ref="AL19:AN19"/>
    <mergeCell ref="AS19:AU19"/>
    <mergeCell ref="BA19:BC19"/>
    <mergeCell ref="CL19:CN19"/>
    <mergeCell ref="CO19:CR20"/>
    <mergeCell ref="CT19:CV19"/>
    <mergeCell ref="DA19:DC19"/>
    <mergeCell ref="AG19:AJ19"/>
    <mergeCell ref="AG20:AJ20"/>
    <mergeCell ref="AV19:AY19"/>
    <mergeCell ref="AV20:AY20"/>
    <mergeCell ref="BW35:BY35"/>
    <mergeCell ref="AD36:AF36"/>
    <mergeCell ref="BV36:BY36"/>
    <mergeCell ref="AS36:AU36"/>
    <mergeCell ref="BA28:BC28"/>
    <mergeCell ref="BH28:BJ28"/>
    <mergeCell ref="AD28:AF28"/>
    <mergeCell ref="AL28:AN28"/>
    <mergeCell ref="AS28:AU28"/>
    <mergeCell ref="BK28:BN29"/>
    <mergeCell ref="BP28:BR28"/>
    <mergeCell ref="BW28:BY28"/>
    <mergeCell ref="AD35:AF35"/>
    <mergeCell ref="AG35:AJ36"/>
    <mergeCell ref="AL35:AN35"/>
    <mergeCell ref="AS35:AU35"/>
    <mergeCell ref="AV35:AY36"/>
    <mergeCell ref="BA35:BC35"/>
    <mergeCell ref="BH35:BJ35"/>
    <mergeCell ref="BK35:BN36"/>
    <mergeCell ref="AK36:AN36"/>
    <mergeCell ref="AV28:AY28"/>
    <mergeCell ref="AV29:AY29"/>
    <mergeCell ref="AZ36:BC36"/>
    <mergeCell ref="BG36:BJ36"/>
    <mergeCell ref="AL44:AN44"/>
    <mergeCell ref="AS44:AU44"/>
    <mergeCell ref="AV44:AY45"/>
    <mergeCell ref="AD45:AF45"/>
    <mergeCell ref="BZ37:CC38"/>
    <mergeCell ref="CE37:CG37"/>
    <mergeCell ref="AD37:AF37"/>
    <mergeCell ref="AL37:AN37"/>
    <mergeCell ref="AS37:AU37"/>
    <mergeCell ref="BA37:BC37"/>
    <mergeCell ref="BH37:BJ37"/>
    <mergeCell ref="BK37:BN38"/>
    <mergeCell ref="BH44:BJ44"/>
    <mergeCell ref="BK44:BN45"/>
    <mergeCell ref="AK45:AN45"/>
    <mergeCell ref="AZ45:BC45"/>
    <mergeCell ref="BP37:BR37"/>
    <mergeCell ref="BW37:BY37"/>
    <mergeCell ref="BO36:BR36"/>
    <mergeCell ref="BZ35:CC36"/>
    <mergeCell ref="BP35:BR35"/>
    <mergeCell ref="DI53:DK53"/>
    <mergeCell ref="CK54:CN54"/>
    <mergeCell ref="CS54:CV54"/>
    <mergeCell ref="CZ54:DC54"/>
    <mergeCell ref="DH54:DK54"/>
    <mergeCell ref="BH53:BJ53"/>
    <mergeCell ref="BK53:BN54"/>
    <mergeCell ref="BP53:BR53"/>
    <mergeCell ref="BW53:BY53"/>
    <mergeCell ref="BZ53:CC54"/>
    <mergeCell ref="CE53:CG53"/>
    <mergeCell ref="BG54:BJ54"/>
    <mergeCell ref="BO54:BR54"/>
    <mergeCell ref="BV54:BY54"/>
    <mergeCell ref="CD54:CG54"/>
    <mergeCell ref="CL53:CN53"/>
    <mergeCell ref="CO53:CR54"/>
    <mergeCell ref="CT53:CV53"/>
    <mergeCell ref="AD26:AF26"/>
    <mergeCell ref="AG26:AJ27"/>
    <mergeCell ref="AL26:AN26"/>
    <mergeCell ref="AS26:AU26"/>
    <mergeCell ref="AV26:AY27"/>
    <mergeCell ref="BA26:BC26"/>
    <mergeCell ref="AK27:AN27"/>
    <mergeCell ref="AZ27:BC27"/>
    <mergeCell ref="AD27:AF27"/>
    <mergeCell ref="AS27:AU27"/>
    <mergeCell ref="CS27:CV27"/>
    <mergeCell ref="CZ27:DC27"/>
    <mergeCell ref="DH27:DK27"/>
    <mergeCell ref="BH26:BJ26"/>
    <mergeCell ref="BK26:BN27"/>
    <mergeCell ref="BP26:BR26"/>
    <mergeCell ref="BW26:BY26"/>
    <mergeCell ref="BZ26:CC27"/>
    <mergeCell ref="CE26:CG26"/>
    <mergeCell ref="BG27:BJ27"/>
    <mergeCell ref="BO27:BR27"/>
    <mergeCell ref="BV27:BY27"/>
    <mergeCell ref="CD27:CG27"/>
    <mergeCell ref="CL26:CN26"/>
    <mergeCell ref="CO26:CR27"/>
    <mergeCell ref="CT26:CV26"/>
    <mergeCell ref="DA26:DC26"/>
    <mergeCell ref="DD26:DG27"/>
    <mergeCell ref="DI26:DK26"/>
    <mergeCell ref="CE35:CG35"/>
    <mergeCell ref="CL35:CN35"/>
    <mergeCell ref="CD36:CG36"/>
    <mergeCell ref="CK36:CN36"/>
    <mergeCell ref="CO28:CR29"/>
    <mergeCell ref="BZ28:CC29"/>
    <mergeCell ref="CE28:CG28"/>
    <mergeCell ref="CL28:CN28"/>
    <mergeCell ref="CK27:CN27"/>
    <mergeCell ref="CT28:CV28"/>
    <mergeCell ref="DA28:DC28"/>
    <mergeCell ref="DA35:DC35"/>
    <mergeCell ref="DD35:DG36"/>
    <mergeCell ref="DI35:DK35"/>
    <mergeCell ref="DA44:DC44"/>
    <mergeCell ref="DD44:DG45"/>
    <mergeCell ref="DI44:DK44"/>
    <mergeCell ref="CZ45:DC45"/>
    <mergeCell ref="DH45:DK45"/>
    <mergeCell ref="DD28:DG29"/>
    <mergeCell ref="DI28:DK28"/>
    <mergeCell ref="CL37:CN37"/>
    <mergeCell ref="BA44:BC44"/>
    <mergeCell ref="AD55:AF55"/>
    <mergeCell ref="AL55:AN55"/>
    <mergeCell ref="AS55:AU55"/>
    <mergeCell ref="BA55:BC55"/>
    <mergeCell ref="AD46:AF46"/>
    <mergeCell ref="AL46:AN46"/>
    <mergeCell ref="AS46:AU46"/>
    <mergeCell ref="BA46:BC46"/>
    <mergeCell ref="BA53:BC53"/>
    <mergeCell ref="AK54:AN54"/>
    <mergeCell ref="AZ54:BC54"/>
    <mergeCell ref="AD54:AF54"/>
    <mergeCell ref="CK45:CN45"/>
    <mergeCell ref="BP44:BR44"/>
    <mergeCell ref="BW44:BY44"/>
    <mergeCell ref="BZ44:CC45"/>
    <mergeCell ref="CE44:CG44"/>
    <mergeCell ref="CL44:CN44"/>
    <mergeCell ref="AV37:AY37"/>
    <mergeCell ref="AV38:AY38"/>
    <mergeCell ref="AL53:AN53"/>
    <mergeCell ref="AS53:AU53"/>
    <mergeCell ref="CO44:CR45"/>
    <mergeCell ref="CT44:CV44"/>
    <mergeCell ref="AV46:AY46"/>
    <mergeCell ref="AV47:AY47"/>
    <mergeCell ref="DA46:DC46"/>
    <mergeCell ref="DD46:DG47"/>
    <mergeCell ref="DI46:DK46"/>
    <mergeCell ref="AV53:AY54"/>
    <mergeCell ref="CL46:CN46"/>
    <mergeCell ref="BG45:BJ45"/>
    <mergeCell ref="CO46:CR47"/>
    <mergeCell ref="CT46:CV46"/>
    <mergeCell ref="BH46:BJ46"/>
    <mergeCell ref="BK46:BN47"/>
    <mergeCell ref="BP46:BR46"/>
    <mergeCell ref="BW46:BY46"/>
    <mergeCell ref="BZ46:CC47"/>
    <mergeCell ref="CE46:CG46"/>
    <mergeCell ref="CS45:CV45"/>
    <mergeCell ref="BO45:BR45"/>
    <mergeCell ref="BV45:BY45"/>
    <mergeCell ref="CD45:CG45"/>
    <mergeCell ref="DA53:DC53"/>
    <mergeCell ref="DD53:DG54"/>
    <mergeCell ref="CO37:CR38"/>
    <mergeCell ref="CT37:CV37"/>
    <mergeCell ref="DA37:DC37"/>
    <mergeCell ref="DD37:DG38"/>
    <mergeCell ref="DI37:DK37"/>
    <mergeCell ref="CT35:CV35"/>
    <mergeCell ref="CS36:CV36"/>
    <mergeCell ref="CZ36:DC36"/>
    <mergeCell ref="DH36:DK36"/>
    <mergeCell ref="CO35:CR36"/>
    <mergeCell ref="CL55:CN55"/>
    <mergeCell ref="CO55:CR56"/>
    <mergeCell ref="CT55:CV55"/>
    <mergeCell ref="DA55:DC55"/>
    <mergeCell ref="DD55:DG56"/>
    <mergeCell ref="DI55:DK55"/>
    <mergeCell ref="BH55:BJ55"/>
    <mergeCell ref="BK55:BN56"/>
    <mergeCell ref="BP55:BR55"/>
    <mergeCell ref="BW55:BY55"/>
    <mergeCell ref="BZ55:CC56"/>
    <mergeCell ref="CE55:CG55"/>
    <mergeCell ref="AD56:AF56"/>
    <mergeCell ref="AG46:AJ46"/>
    <mergeCell ref="AG47:AJ47"/>
    <mergeCell ref="AG55:AJ55"/>
    <mergeCell ref="AG56:AJ56"/>
    <mergeCell ref="AG37:AJ37"/>
    <mergeCell ref="AG38:AJ38"/>
    <mergeCell ref="AG28:AJ28"/>
    <mergeCell ref="AG29:AJ29"/>
    <mergeCell ref="AD53:AF53"/>
    <mergeCell ref="AG53:AJ54"/>
    <mergeCell ref="AD44:AF44"/>
    <mergeCell ref="AG44:AJ45"/>
    <mergeCell ref="AS20:AU20"/>
    <mergeCell ref="AS21:AU21"/>
    <mergeCell ref="AS22:AU22"/>
    <mergeCell ref="AS23:AU23"/>
    <mergeCell ref="AS24:AU24"/>
    <mergeCell ref="AS25:AU25"/>
    <mergeCell ref="AS29:AU29"/>
    <mergeCell ref="AS30:AU30"/>
    <mergeCell ref="AS31:AU31"/>
    <mergeCell ref="AS47:AU47"/>
    <mergeCell ref="AS48:AU48"/>
    <mergeCell ref="AS49:AU49"/>
    <mergeCell ref="AS50:AU50"/>
    <mergeCell ref="AS51:AU51"/>
    <mergeCell ref="AS52:AU52"/>
    <mergeCell ref="AS56:AU56"/>
    <mergeCell ref="AS57:AU57"/>
    <mergeCell ref="AS32:AU32"/>
    <mergeCell ref="AS33:AU33"/>
    <mergeCell ref="AS34:AU34"/>
    <mergeCell ref="AS38:AU38"/>
    <mergeCell ref="AS39:AU39"/>
    <mergeCell ref="AS40:AU40"/>
    <mergeCell ref="AS41:AU41"/>
    <mergeCell ref="AS42:AU42"/>
    <mergeCell ref="AS43:AU43"/>
    <mergeCell ref="AS45:AU45"/>
    <mergeCell ref="AS54:AU54"/>
  </mergeCells>
  <conditionalFormatting sqref="AG8:AG11 AH8:AJ9">
    <cfRule type="expression" dxfId="35" priority="50">
      <formula>$AG$10&lt;$AD$9</formula>
    </cfRule>
    <cfRule type="expression" dxfId="34" priority="51">
      <formula>$AG$10&gt;=$AD$9</formula>
    </cfRule>
  </conditionalFormatting>
  <conditionalFormatting sqref="AV8:AY11">
    <cfRule type="expression" dxfId="33" priority="43">
      <formula>$AS$9=0</formula>
    </cfRule>
    <cfRule type="expression" dxfId="32" priority="46">
      <formula>$AV$10&lt;$AS$9</formula>
    </cfRule>
    <cfRule type="expression" dxfId="31" priority="47">
      <formula>$AV$10&gt;=$AS$9</formula>
    </cfRule>
  </conditionalFormatting>
  <conditionalFormatting sqref="AV17:AY20">
    <cfRule type="expression" dxfId="30" priority="40">
      <formula>$AS$18=0</formula>
    </cfRule>
    <cfRule type="expression" dxfId="29" priority="42">
      <formula>$AV$19&gt;=$AS$18</formula>
    </cfRule>
    <cfRule type="expression" dxfId="28" priority="44">
      <formula>$AV$19&lt;$AS$18</formula>
    </cfRule>
  </conditionalFormatting>
  <conditionalFormatting sqref="AV26:AY29">
    <cfRule type="expression" dxfId="27" priority="31">
      <formula>$AS$27=0</formula>
    </cfRule>
    <cfRule type="expression" dxfId="26" priority="32">
      <formula>$AV$28&gt;=$AS$27</formula>
    </cfRule>
    <cfRule type="expression" dxfId="25" priority="33">
      <formula>$AV$28&lt;$AS$27</formula>
    </cfRule>
  </conditionalFormatting>
  <conditionalFormatting sqref="AG8:AJ11">
    <cfRule type="expression" dxfId="24" priority="30">
      <formula>$AD$9=0</formula>
    </cfRule>
  </conditionalFormatting>
  <conditionalFormatting sqref="AG17:AJ20">
    <cfRule type="expression" dxfId="23" priority="29">
      <formula>$AD$18=0</formula>
    </cfRule>
    <cfRule type="expression" dxfId="22" priority="52">
      <formula>$AG$19&lt;$AD$18</formula>
    </cfRule>
    <cfRule type="expression" dxfId="21" priority="53">
      <formula>$AG$19&gt;=$AD$18</formula>
    </cfRule>
  </conditionalFormatting>
  <conditionalFormatting sqref="AG26:AJ29">
    <cfRule type="expression" dxfId="20" priority="28">
      <formula>$AD$27=0</formula>
    </cfRule>
    <cfRule type="expression" dxfId="19" priority="56">
      <formula>$AG$28&lt;$AD$27</formula>
    </cfRule>
    <cfRule type="expression" dxfId="18" priority="57">
      <formula>$AG$28&gt;=$AD$27</formula>
    </cfRule>
  </conditionalFormatting>
  <conditionalFormatting sqref="AG35:AJ38">
    <cfRule type="expression" dxfId="17" priority="27">
      <formula>$AD$36=0</formula>
    </cfRule>
    <cfRule type="expression" dxfId="16" priority="62">
      <formula>$AG$37&lt;$AD$36</formula>
    </cfRule>
    <cfRule type="expression" dxfId="15" priority="63">
      <formula>$AG$37&lt;=$AD$36</formula>
    </cfRule>
  </conditionalFormatting>
  <conditionalFormatting sqref="AG44:AJ47">
    <cfRule type="expression" dxfId="14" priority="26">
      <formula>$AD$45=0</formula>
    </cfRule>
    <cfRule type="expression" dxfId="13" priority="58">
      <formula>$AG$46&lt;$AD$45</formula>
    </cfRule>
    <cfRule type="expression" dxfId="12" priority="59">
      <formula>$AG$46&gt;=$AD$45</formula>
    </cfRule>
  </conditionalFormatting>
  <conditionalFormatting sqref="AG53:AJ56">
    <cfRule type="expression" dxfId="11" priority="25">
      <formula>$AD$54=0</formula>
    </cfRule>
    <cfRule type="expression" dxfId="10" priority="48">
      <formula>$AG$55&lt;$AD$54</formula>
    </cfRule>
    <cfRule type="expression" dxfId="9" priority="49">
      <formula>$AG$55&gt;=$AD$54</formula>
    </cfRule>
  </conditionalFormatting>
  <conditionalFormatting sqref="AV44:AY47">
    <cfRule type="expression" dxfId="8" priority="19">
      <formula>$AS$45=0</formula>
    </cfRule>
    <cfRule type="expression" dxfId="7" priority="20">
      <formula>$AV$46&gt;=$AS$45</formula>
    </cfRule>
    <cfRule type="expression" dxfId="6" priority="21">
      <formula>$AV$46&lt;$AS$45</formula>
    </cfRule>
  </conditionalFormatting>
  <conditionalFormatting sqref="AV53:AY56">
    <cfRule type="expression" dxfId="5" priority="16">
      <formula>$AS$54=0</formula>
    </cfRule>
    <cfRule type="expression" dxfId="4" priority="17">
      <formula>$AV$55&gt;=$AS$54</formula>
    </cfRule>
    <cfRule type="expression" dxfId="3" priority="18">
      <formula>$AV$55&lt;$AS$45</formula>
    </cfRule>
  </conditionalFormatting>
  <conditionalFormatting sqref="AV35:AY38">
    <cfRule type="expression" dxfId="2" priority="1">
      <formula>$AS$36=0</formula>
    </cfRule>
    <cfRule type="expression" dxfId="1" priority="2">
      <formula>$AV$37&gt;=$AS$36</formula>
    </cfRule>
    <cfRule type="expression" dxfId="0" priority="3">
      <formula>$AV$37&lt;$AS$36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B050"/>
  </sheetPr>
  <dimension ref="B1:AI46"/>
  <sheetViews>
    <sheetView showGridLines="0" defaultGridColor="0" colorId="55" zoomScale="140" zoomScaleNormal="140" workbookViewId="0">
      <pane xSplit="3" ySplit="5" topLeftCell="D6" activePane="bottomRight" state="frozen"/>
      <selection pane="topRight" activeCell="D1" sqref="D1"/>
      <selection pane="bottomLeft" activeCell="A10" sqref="A10"/>
      <selection pane="bottomRight" activeCell="C48" sqref="C48"/>
    </sheetView>
  </sheetViews>
  <sheetFormatPr baseColWidth="10" defaultColWidth="9.1640625" defaultRowHeight="14"/>
  <cols>
    <col min="1" max="1" width="0.6640625" style="11" customWidth="1"/>
    <col min="2" max="2" width="5" style="72" customWidth="1"/>
    <col min="3" max="3" width="51.6640625" style="11" customWidth="1"/>
    <col min="4" max="7" width="11.1640625" style="12" customWidth="1"/>
    <col min="8" max="20" width="11.33203125" style="97" customWidth="1"/>
    <col min="21" max="29" width="11.33203125" style="98" customWidth="1"/>
    <col min="30" max="30" width="9.1640625" style="11"/>
    <col min="31" max="31" width="10.6640625" style="11" bestFit="1" customWidth="1"/>
    <col min="32" max="32" width="10" style="11" bestFit="1" customWidth="1"/>
    <col min="33" max="33" width="10.6640625" style="44" bestFit="1" customWidth="1"/>
    <col min="34" max="34" width="10" style="44" bestFit="1" customWidth="1"/>
    <col min="35" max="35" width="11" style="11" customWidth="1"/>
    <col min="36" max="16384" width="9.1640625" style="11"/>
  </cols>
  <sheetData>
    <row r="1" spans="2:35" ht="8.25" customHeight="1"/>
    <row r="2" spans="2:35" s="7" customFormat="1" ht="16.5" customHeight="1">
      <c r="C2" s="305" t="s">
        <v>119</v>
      </c>
      <c r="D2" s="309"/>
      <c r="E2" s="309"/>
      <c r="F2" s="309"/>
      <c r="G2" s="309"/>
      <c r="H2" s="309"/>
      <c r="I2" s="309"/>
      <c r="J2" s="309"/>
      <c r="K2" s="331"/>
      <c r="L2" s="309"/>
      <c r="M2" s="310"/>
      <c r="N2" s="310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10"/>
      <c r="AF2" s="309"/>
      <c r="AG2" s="109"/>
      <c r="AH2" s="109"/>
    </row>
    <row r="3" spans="2:35" s="71" customFormat="1" ht="15" thickBot="1">
      <c r="B3" s="72"/>
      <c r="C3" s="11"/>
      <c r="D3" s="12"/>
      <c r="E3" s="12"/>
      <c r="F3" s="12"/>
      <c r="G3" s="12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/>
      <c r="V3" s="98"/>
      <c r="W3" s="98"/>
      <c r="X3" s="98"/>
      <c r="Y3" s="98"/>
      <c r="Z3" s="98"/>
      <c r="AA3" s="98"/>
      <c r="AB3" s="98"/>
      <c r="AC3" s="98"/>
      <c r="AG3" s="315"/>
      <c r="AH3" s="315"/>
    </row>
    <row r="4" spans="2:35" ht="6.75" customHeight="1">
      <c r="B4" s="605" t="s">
        <v>34</v>
      </c>
      <c r="C4" s="606"/>
      <c r="D4" s="612" t="s">
        <v>4</v>
      </c>
      <c r="E4" s="613"/>
      <c r="F4" s="612" t="s">
        <v>5</v>
      </c>
      <c r="G4" s="613"/>
      <c r="H4" s="612" t="s">
        <v>6</v>
      </c>
      <c r="I4" s="613"/>
      <c r="J4" s="612" t="s">
        <v>7</v>
      </c>
      <c r="K4" s="613"/>
      <c r="L4" s="612" t="s">
        <v>8</v>
      </c>
      <c r="M4" s="613"/>
      <c r="N4" s="612" t="s">
        <v>9</v>
      </c>
      <c r="O4" s="613"/>
      <c r="P4" s="612" t="s">
        <v>10</v>
      </c>
      <c r="Q4" s="613"/>
      <c r="R4" s="612" t="s">
        <v>11</v>
      </c>
      <c r="S4" s="613"/>
      <c r="T4" s="612" t="s">
        <v>12</v>
      </c>
      <c r="U4" s="613"/>
      <c r="V4" s="612" t="s">
        <v>13</v>
      </c>
      <c r="W4" s="613"/>
      <c r="X4" s="612" t="s">
        <v>14</v>
      </c>
      <c r="Y4" s="613"/>
      <c r="Z4" s="612" t="s">
        <v>15</v>
      </c>
      <c r="AA4" s="613"/>
      <c r="AB4" s="614">
        <v>41640</v>
      </c>
      <c r="AC4" s="615"/>
    </row>
    <row r="5" spans="2:35" s="14" customFormat="1" ht="23.25" customHeight="1">
      <c r="B5" s="607"/>
      <c r="C5" s="608"/>
      <c r="D5" s="221" t="s">
        <v>76</v>
      </c>
      <c r="E5" s="217" t="s">
        <v>101</v>
      </c>
      <c r="F5" s="221" t="s">
        <v>76</v>
      </c>
      <c r="G5" s="217" t="s">
        <v>101</v>
      </c>
      <c r="H5" s="221" t="s">
        <v>76</v>
      </c>
      <c r="I5" s="217" t="s">
        <v>101</v>
      </c>
      <c r="J5" s="221" t="s">
        <v>76</v>
      </c>
      <c r="K5" s="217" t="s">
        <v>101</v>
      </c>
      <c r="L5" s="221" t="s">
        <v>76</v>
      </c>
      <c r="M5" s="217" t="s">
        <v>101</v>
      </c>
      <c r="N5" s="221" t="s">
        <v>76</v>
      </c>
      <c r="O5" s="217" t="s">
        <v>101</v>
      </c>
      <c r="P5" s="221" t="s">
        <v>76</v>
      </c>
      <c r="Q5" s="217" t="s">
        <v>101</v>
      </c>
      <c r="R5" s="221" t="s">
        <v>76</v>
      </c>
      <c r="S5" s="217" t="s">
        <v>101</v>
      </c>
      <c r="T5" s="221" t="s">
        <v>76</v>
      </c>
      <c r="U5" s="217" t="s">
        <v>101</v>
      </c>
      <c r="V5" s="221" t="s">
        <v>76</v>
      </c>
      <c r="W5" s="217" t="s">
        <v>101</v>
      </c>
      <c r="X5" s="221" t="s">
        <v>76</v>
      </c>
      <c r="Y5" s="217" t="s">
        <v>101</v>
      </c>
      <c r="Z5" s="221" t="s">
        <v>76</v>
      </c>
      <c r="AA5" s="217" t="s">
        <v>101</v>
      </c>
      <c r="AB5" s="215" t="s">
        <v>76</v>
      </c>
      <c r="AC5" s="217" t="s">
        <v>78</v>
      </c>
      <c r="AG5" s="609"/>
      <c r="AH5" s="609"/>
    </row>
    <row r="6" spans="2:35" s="74" customFormat="1" ht="13.5" customHeight="1">
      <c r="B6" s="616" t="s">
        <v>92</v>
      </c>
      <c r="C6" s="101"/>
      <c r="D6" s="222"/>
      <c r="E6" s="223"/>
      <c r="F6" s="222"/>
      <c r="G6" s="223"/>
      <c r="H6" s="222"/>
      <c r="I6" s="223"/>
      <c r="J6" s="222"/>
      <c r="K6" s="223"/>
      <c r="L6" s="222"/>
      <c r="M6" s="223"/>
      <c r="N6" s="222"/>
      <c r="O6" s="223"/>
      <c r="P6" s="222"/>
      <c r="Q6" s="223"/>
      <c r="R6" s="222"/>
      <c r="S6" s="223"/>
      <c r="T6" s="222"/>
      <c r="U6" s="223"/>
      <c r="V6" s="222"/>
      <c r="W6" s="223"/>
      <c r="X6" s="222"/>
      <c r="Y6" s="223"/>
      <c r="Z6" s="222"/>
      <c r="AA6" s="223"/>
      <c r="AB6" s="350"/>
      <c r="AC6" s="218"/>
      <c r="AG6" s="316"/>
      <c r="AH6" s="316"/>
    </row>
    <row r="7" spans="2:35" ht="13.5" customHeight="1">
      <c r="B7" s="617"/>
      <c r="C7" s="183"/>
      <c r="D7" s="222"/>
      <c r="E7" s="223"/>
      <c r="F7" s="222"/>
      <c r="G7" s="223"/>
      <c r="H7" s="222"/>
      <c r="I7" s="223"/>
      <c r="J7" s="222"/>
      <c r="K7" s="223"/>
      <c r="L7" s="222"/>
      <c r="M7" s="223"/>
      <c r="N7" s="222"/>
      <c r="O7" s="223"/>
      <c r="P7" s="222"/>
      <c r="Q7" s="223"/>
      <c r="R7" s="222"/>
      <c r="S7" s="223"/>
      <c r="T7" s="222"/>
      <c r="U7" s="223"/>
      <c r="V7" s="222"/>
      <c r="W7" s="223"/>
      <c r="X7" s="222"/>
      <c r="Y7" s="223"/>
      <c r="Z7" s="222"/>
      <c r="AA7" s="223"/>
      <c r="AB7" s="350"/>
      <c r="AC7" s="218"/>
      <c r="AD7" s="73"/>
      <c r="AG7" s="312"/>
      <c r="AH7" s="313"/>
    </row>
    <row r="8" spans="2:35" ht="13.5" customHeight="1">
      <c r="B8" s="617"/>
      <c r="C8" s="101"/>
      <c r="D8" s="222"/>
      <c r="E8" s="223"/>
      <c r="F8" s="222"/>
      <c r="G8" s="223"/>
      <c r="H8" s="222"/>
      <c r="I8" s="223"/>
      <c r="J8" s="222"/>
      <c r="K8" s="223"/>
      <c r="L8" s="222"/>
      <c r="M8" s="223"/>
      <c r="N8" s="222"/>
      <c r="O8" s="223"/>
      <c r="P8" s="222"/>
      <c r="Q8" s="223"/>
      <c r="R8" s="222"/>
      <c r="S8" s="223"/>
      <c r="T8" s="222"/>
      <c r="U8" s="223"/>
      <c r="V8" s="222"/>
      <c r="W8" s="223"/>
      <c r="X8" s="222"/>
      <c r="Y8" s="223"/>
      <c r="Z8" s="222"/>
      <c r="AA8" s="223"/>
      <c r="AB8" s="350"/>
      <c r="AC8" s="218"/>
      <c r="AD8" s="73"/>
      <c r="AG8" s="312"/>
      <c r="AH8" s="313"/>
    </row>
    <row r="9" spans="2:35" ht="13.5" customHeight="1">
      <c r="B9" s="617"/>
      <c r="C9" s="101"/>
      <c r="D9" s="222"/>
      <c r="E9" s="223"/>
      <c r="F9" s="222"/>
      <c r="G9" s="223"/>
      <c r="H9" s="222"/>
      <c r="I9" s="223"/>
      <c r="J9" s="222"/>
      <c r="K9" s="223"/>
      <c r="L9" s="222"/>
      <c r="M9" s="223"/>
      <c r="N9" s="222"/>
      <c r="O9" s="223"/>
      <c r="P9" s="222"/>
      <c r="Q9" s="223"/>
      <c r="R9" s="222"/>
      <c r="S9" s="223"/>
      <c r="T9" s="222"/>
      <c r="U9" s="223"/>
      <c r="V9" s="222"/>
      <c r="W9" s="223"/>
      <c r="X9" s="222"/>
      <c r="Y9" s="223"/>
      <c r="Z9" s="222"/>
      <c r="AA9" s="223"/>
      <c r="AB9" s="350"/>
      <c r="AC9" s="218"/>
      <c r="AD9" s="73"/>
      <c r="AG9" s="312"/>
      <c r="AH9" s="313"/>
      <c r="AI9" s="205"/>
    </row>
    <row r="10" spans="2:35" ht="13.5" customHeight="1">
      <c r="B10" s="617"/>
      <c r="C10" s="101"/>
      <c r="D10" s="222"/>
      <c r="E10" s="223"/>
      <c r="F10" s="222"/>
      <c r="G10" s="223"/>
      <c r="H10" s="222"/>
      <c r="I10" s="223"/>
      <c r="J10" s="222"/>
      <c r="K10" s="223"/>
      <c r="L10" s="222"/>
      <c r="M10" s="223"/>
      <c r="N10" s="222"/>
      <c r="O10" s="223"/>
      <c r="P10" s="222"/>
      <c r="Q10" s="223"/>
      <c r="R10" s="222"/>
      <c r="S10" s="223"/>
      <c r="T10" s="222"/>
      <c r="U10" s="223"/>
      <c r="V10" s="222"/>
      <c r="W10" s="223"/>
      <c r="X10" s="222"/>
      <c r="Y10" s="223"/>
      <c r="Z10" s="222"/>
      <c r="AA10" s="223"/>
      <c r="AB10" s="350"/>
      <c r="AC10" s="218"/>
      <c r="AD10" s="73"/>
      <c r="AG10" s="312"/>
      <c r="AH10" s="313"/>
    </row>
    <row r="11" spans="2:35" ht="13.5" customHeight="1">
      <c r="B11" s="617"/>
      <c r="D11" s="222"/>
      <c r="E11" s="223"/>
      <c r="F11" s="222"/>
      <c r="G11" s="223"/>
      <c r="H11" s="222"/>
      <c r="I11" s="223"/>
      <c r="J11" s="222"/>
      <c r="K11" s="223"/>
      <c r="L11" s="222"/>
      <c r="M11" s="223"/>
      <c r="N11" s="222"/>
      <c r="O11" s="223"/>
      <c r="P11" s="222"/>
      <c r="Q11" s="223"/>
      <c r="R11" s="222"/>
      <c r="S11" s="223"/>
      <c r="T11" s="222"/>
      <c r="U11" s="223"/>
      <c r="V11" s="222"/>
      <c r="W11" s="223"/>
      <c r="X11" s="222"/>
      <c r="Y11" s="223"/>
      <c r="Z11" s="222"/>
      <c r="AA11" s="223"/>
      <c r="AB11" s="350"/>
      <c r="AC11" s="218"/>
      <c r="AD11" s="73"/>
      <c r="AG11" s="312"/>
      <c r="AH11" s="313"/>
    </row>
    <row r="12" spans="2:35" ht="13.5" customHeight="1">
      <c r="B12" s="617"/>
      <c r="C12" s="101"/>
      <c r="D12" s="222"/>
      <c r="E12" s="223"/>
      <c r="F12" s="222"/>
      <c r="G12" s="223"/>
      <c r="H12" s="222"/>
      <c r="I12" s="223"/>
      <c r="J12" s="222"/>
      <c r="K12" s="223"/>
      <c r="L12" s="222"/>
      <c r="M12" s="223"/>
      <c r="N12" s="222"/>
      <c r="O12" s="223"/>
      <c r="P12" s="222"/>
      <c r="Q12" s="223"/>
      <c r="R12" s="222"/>
      <c r="S12" s="223"/>
      <c r="T12" s="222"/>
      <c r="U12" s="223"/>
      <c r="V12" s="222"/>
      <c r="W12" s="223"/>
      <c r="X12" s="222"/>
      <c r="Y12" s="223"/>
      <c r="Z12" s="222"/>
      <c r="AA12" s="223"/>
      <c r="AB12" s="350"/>
      <c r="AC12" s="218"/>
      <c r="AD12" s="73"/>
      <c r="AG12" s="312"/>
      <c r="AH12" s="313"/>
    </row>
    <row r="13" spans="2:35" ht="13.5" customHeight="1">
      <c r="B13" s="617"/>
      <c r="C13" s="101"/>
      <c r="D13" s="222"/>
      <c r="E13" s="223"/>
      <c r="F13" s="222"/>
      <c r="G13" s="223"/>
      <c r="H13" s="222"/>
      <c r="I13" s="223"/>
      <c r="J13" s="222"/>
      <c r="K13" s="223"/>
      <c r="L13" s="222"/>
      <c r="M13" s="223"/>
      <c r="N13" s="222"/>
      <c r="O13" s="223"/>
      <c r="P13" s="222"/>
      <c r="Q13" s="223"/>
      <c r="R13" s="222"/>
      <c r="S13" s="223"/>
      <c r="T13" s="222"/>
      <c r="U13" s="223"/>
      <c r="V13" s="222"/>
      <c r="W13" s="223"/>
      <c r="X13" s="222"/>
      <c r="Y13" s="223"/>
      <c r="Z13" s="222"/>
      <c r="AA13" s="223"/>
      <c r="AB13" s="350"/>
      <c r="AC13" s="218"/>
      <c r="AD13" s="73"/>
      <c r="AG13" s="312"/>
      <c r="AH13" s="313"/>
    </row>
    <row r="14" spans="2:35" ht="13.5" customHeight="1">
      <c r="B14" s="617"/>
      <c r="C14" s="101"/>
      <c r="D14" s="222"/>
      <c r="E14" s="223"/>
      <c r="F14" s="222"/>
      <c r="G14" s="223"/>
      <c r="H14" s="222"/>
      <c r="I14" s="223"/>
      <c r="J14" s="222"/>
      <c r="K14" s="223"/>
      <c r="L14" s="222"/>
      <c r="M14" s="223"/>
      <c r="N14" s="222"/>
      <c r="O14" s="223"/>
      <c r="P14" s="222"/>
      <c r="Q14" s="223"/>
      <c r="R14" s="222"/>
      <c r="S14" s="223"/>
      <c r="T14" s="222"/>
      <c r="U14" s="223"/>
      <c r="V14" s="222"/>
      <c r="W14" s="223"/>
      <c r="X14" s="222"/>
      <c r="Y14" s="223"/>
      <c r="Z14" s="222"/>
      <c r="AA14" s="223"/>
      <c r="AB14" s="350"/>
      <c r="AC14" s="218"/>
      <c r="AD14" s="73"/>
      <c r="AG14" s="312"/>
      <c r="AH14" s="313"/>
    </row>
    <row r="15" spans="2:35" ht="13.5" customHeight="1">
      <c r="B15" s="617"/>
      <c r="C15" s="101"/>
      <c r="D15" s="222"/>
      <c r="E15" s="223"/>
      <c r="F15" s="222"/>
      <c r="G15" s="223"/>
      <c r="H15" s="222"/>
      <c r="I15" s="223"/>
      <c r="J15" s="222"/>
      <c r="K15" s="223"/>
      <c r="L15" s="222"/>
      <c r="M15" s="223"/>
      <c r="N15" s="222"/>
      <c r="O15" s="223"/>
      <c r="P15" s="222"/>
      <c r="Q15" s="223"/>
      <c r="R15" s="222"/>
      <c r="S15" s="223"/>
      <c r="T15" s="222"/>
      <c r="U15" s="223"/>
      <c r="V15" s="222"/>
      <c r="W15" s="223"/>
      <c r="X15" s="222"/>
      <c r="Y15" s="223"/>
      <c r="Z15" s="222"/>
      <c r="AA15" s="223"/>
      <c r="AB15" s="350"/>
      <c r="AC15" s="218"/>
      <c r="AD15" s="73"/>
      <c r="AG15" s="313"/>
      <c r="AH15" s="313"/>
    </row>
    <row r="16" spans="2:35" ht="13.5" customHeight="1">
      <c r="B16" s="617"/>
      <c r="C16" s="102"/>
      <c r="D16" s="224"/>
      <c r="E16" s="225"/>
      <c r="F16" s="224"/>
      <c r="G16" s="225"/>
      <c r="H16" s="224"/>
      <c r="I16" s="225"/>
      <c r="J16" s="224"/>
      <c r="K16" s="225"/>
      <c r="L16" s="224"/>
      <c r="M16" s="225"/>
      <c r="N16" s="224"/>
      <c r="O16" s="225"/>
      <c r="P16" s="224"/>
      <c r="Q16" s="225"/>
      <c r="R16" s="224"/>
      <c r="S16" s="225"/>
      <c r="T16" s="224"/>
      <c r="U16" s="225"/>
      <c r="V16" s="224"/>
      <c r="W16" s="225"/>
      <c r="X16" s="224"/>
      <c r="Y16" s="225"/>
      <c r="Z16" s="224"/>
      <c r="AA16" s="225"/>
      <c r="AB16" s="216"/>
      <c r="AC16" s="219"/>
      <c r="AD16" s="73"/>
      <c r="AG16" s="313"/>
      <c r="AH16" s="313"/>
    </row>
    <row r="17" spans="2:34" ht="13.5" customHeight="1" thickBot="1">
      <c r="B17" s="618"/>
      <c r="C17" s="220" t="s">
        <v>113</v>
      </c>
      <c r="D17" s="226">
        <f>SUM(D6:D16)</f>
        <v>0</v>
      </c>
      <c r="E17" s="227"/>
      <c r="F17" s="226">
        <f>SUM(F6:F16)</f>
        <v>0</v>
      </c>
      <c r="G17" s="227"/>
      <c r="H17" s="226">
        <f>SUM(H6:H16)</f>
        <v>0</v>
      </c>
      <c r="I17" s="227"/>
      <c r="J17" s="226">
        <f>SUM(J6:J16)</f>
        <v>0</v>
      </c>
      <c r="K17" s="227"/>
      <c r="L17" s="226">
        <f>SUM(L6:L16)</f>
        <v>0</v>
      </c>
      <c r="M17" s="227"/>
      <c r="N17" s="226">
        <f>SUM(N6:N16)</f>
        <v>0</v>
      </c>
      <c r="O17" s="227"/>
      <c r="P17" s="226">
        <f>SUM(P6:P16)</f>
        <v>0</v>
      </c>
      <c r="Q17" s="227"/>
      <c r="R17" s="226">
        <f>SUM(R6:R16)</f>
        <v>0</v>
      </c>
      <c r="S17" s="227"/>
      <c r="T17" s="226">
        <f>SUM(T6:T16)</f>
        <v>0</v>
      </c>
      <c r="U17" s="227"/>
      <c r="V17" s="226">
        <f>SUM(V6:V16)</f>
        <v>0</v>
      </c>
      <c r="W17" s="227"/>
      <c r="X17" s="226">
        <f>SUM(X6:X16)</f>
        <v>0</v>
      </c>
      <c r="Y17" s="227"/>
      <c r="Z17" s="226">
        <f>SUM(Z6:Z16)</f>
        <v>0</v>
      </c>
      <c r="AA17" s="227"/>
      <c r="AB17" s="228"/>
      <c r="AC17" s="229"/>
      <c r="AD17" s="73"/>
      <c r="AG17" s="313"/>
      <c r="AH17" s="313"/>
    </row>
    <row r="18" spans="2:34" ht="13.5" customHeight="1">
      <c r="B18" s="619" t="s">
        <v>93</v>
      </c>
      <c r="C18" s="101"/>
      <c r="D18" s="222"/>
      <c r="E18" s="223"/>
      <c r="F18" s="222">
        <f>SUM(G6:G17)</f>
        <v>0</v>
      </c>
      <c r="G18" s="223"/>
      <c r="H18" s="222">
        <f>SUM(I6:I17)</f>
        <v>0</v>
      </c>
      <c r="I18" s="223"/>
      <c r="J18" s="222">
        <f>SUM(K6:K17)</f>
        <v>0</v>
      </c>
      <c r="K18" s="223"/>
      <c r="L18" s="222">
        <f>SUM(M6:M17)</f>
        <v>0</v>
      </c>
      <c r="M18" s="223"/>
      <c r="N18" s="222">
        <f>SUM(O6:O17)</f>
        <v>0</v>
      </c>
      <c r="O18" s="223"/>
      <c r="P18" s="222">
        <f>SUM(Q6:Q17)</f>
        <v>0</v>
      </c>
      <c r="Q18" s="223"/>
      <c r="R18" s="222">
        <f>SUM(S6:S17)</f>
        <v>0</v>
      </c>
      <c r="S18" s="223"/>
      <c r="T18" s="222">
        <f>SUM(U6:U17)</f>
        <v>0</v>
      </c>
      <c r="U18" s="223"/>
      <c r="V18" s="222">
        <f>SUM(W6:W17)</f>
        <v>0</v>
      </c>
      <c r="W18" s="223"/>
      <c r="X18" s="222">
        <f>SUM(Y6:Y17)</f>
        <v>0</v>
      </c>
      <c r="Y18" s="223"/>
      <c r="Z18" s="222">
        <f>SUM(AA6:AA17)</f>
        <v>0</v>
      </c>
      <c r="AA18" s="223"/>
      <c r="AB18" s="222">
        <f>SUM(AC6:AC17)</f>
        <v>0</v>
      </c>
      <c r="AC18" s="223"/>
      <c r="AD18" s="73"/>
      <c r="AG18" s="313"/>
      <c r="AH18" s="313"/>
    </row>
    <row r="19" spans="2:34" ht="13.5" customHeight="1">
      <c r="B19" s="617"/>
      <c r="C19" s="101"/>
      <c r="D19" s="222"/>
      <c r="E19" s="223"/>
      <c r="F19" s="222"/>
      <c r="G19" s="223"/>
      <c r="H19" s="222"/>
      <c r="I19" s="223"/>
      <c r="J19" s="222"/>
      <c r="K19" s="223"/>
      <c r="L19" s="222">
        <v>190</v>
      </c>
      <c r="M19" s="223"/>
      <c r="N19" s="222"/>
      <c r="O19" s="223"/>
      <c r="P19" s="222"/>
      <c r="Q19" s="223"/>
      <c r="R19" s="222"/>
      <c r="S19" s="223"/>
      <c r="T19" s="222"/>
      <c r="U19" s="223"/>
      <c r="V19" s="222"/>
      <c r="W19" s="223"/>
      <c r="X19" s="222"/>
      <c r="Y19" s="223"/>
      <c r="Z19" s="222"/>
      <c r="AA19" s="223"/>
      <c r="AB19" s="350"/>
      <c r="AC19" s="218"/>
      <c r="AD19" s="73"/>
      <c r="AG19" s="313"/>
      <c r="AH19" s="313"/>
    </row>
    <row r="20" spans="2:34" ht="13.5" customHeight="1">
      <c r="B20" s="617"/>
      <c r="C20" s="101"/>
      <c r="D20" s="222"/>
      <c r="E20" s="223"/>
      <c r="F20" s="222"/>
      <c r="G20" s="223"/>
      <c r="H20" s="222"/>
      <c r="I20" s="223"/>
      <c r="J20" s="222"/>
      <c r="K20" s="223"/>
      <c r="L20" s="222"/>
      <c r="M20" s="223"/>
      <c r="N20" s="222"/>
      <c r="O20" s="223"/>
      <c r="P20" s="222"/>
      <c r="Q20" s="223"/>
      <c r="R20" s="222"/>
      <c r="S20" s="223"/>
      <c r="T20" s="222"/>
      <c r="U20" s="223"/>
      <c r="V20" s="222"/>
      <c r="W20" s="223"/>
      <c r="X20" s="222"/>
      <c r="Y20" s="223"/>
      <c r="Z20" s="222"/>
      <c r="AA20" s="223"/>
      <c r="AB20" s="350"/>
      <c r="AC20" s="218"/>
      <c r="AD20" s="73"/>
      <c r="AG20" s="313"/>
      <c r="AH20" s="313"/>
    </row>
    <row r="21" spans="2:34" ht="13.5" customHeight="1">
      <c r="B21" s="617"/>
      <c r="C21" s="101"/>
      <c r="D21" s="222"/>
      <c r="E21" s="223"/>
      <c r="F21" s="222"/>
      <c r="G21" s="223"/>
      <c r="H21" s="222"/>
      <c r="I21" s="223"/>
      <c r="J21" s="222"/>
      <c r="K21" s="223"/>
      <c r="L21" s="222"/>
      <c r="M21" s="223"/>
      <c r="N21" s="222"/>
      <c r="O21" s="223"/>
      <c r="P21" s="222"/>
      <c r="Q21" s="223"/>
      <c r="R21" s="222"/>
      <c r="S21" s="223"/>
      <c r="T21" s="222"/>
      <c r="U21" s="223"/>
      <c r="V21" s="222"/>
      <c r="W21" s="223"/>
      <c r="X21" s="222"/>
      <c r="Y21" s="223"/>
      <c r="Z21" s="222"/>
      <c r="AA21" s="223"/>
      <c r="AB21" s="350"/>
      <c r="AC21" s="218"/>
      <c r="AD21" s="73"/>
      <c r="AG21" s="313"/>
      <c r="AH21" s="313"/>
    </row>
    <row r="22" spans="2:34" ht="13.5" customHeight="1">
      <c r="B22" s="617"/>
      <c r="C22" s="101"/>
      <c r="D22" s="222"/>
      <c r="E22" s="223"/>
      <c r="F22" s="222"/>
      <c r="G22" s="223"/>
      <c r="H22" s="222"/>
      <c r="I22" s="223"/>
      <c r="J22" s="222"/>
      <c r="K22" s="223"/>
      <c r="L22" s="222"/>
      <c r="M22" s="223"/>
      <c r="N22" s="222"/>
      <c r="O22" s="223"/>
      <c r="P22" s="222"/>
      <c r="Q22" s="223"/>
      <c r="R22" s="222"/>
      <c r="S22" s="223"/>
      <c r="T22" s="222"/>
      <c r="U22" s="223"/>
      <c r="V22" s="222"/>
      <c r="W22" s="223"/>
      <c r="X22" s="222"/>
      <c r="Y22" s="223"/>
      <c r="Z22" s="222"/>
      <c r="AA22" s="223"/>
      <c r="AB22" s="350"/>
      <c r="AC22" s="218"/>
      <c r="AD22" s="73"/>
      <c r="AG22" s="314"/>
      <c r="AH22" s="313"/>
    </row>
    <row r="23" spans="2:34" ht="13.5" customHeight="1">
      <c r="B23" s="617"/>
      <c r="C23" s="101"/>
      <c r="D23" s="222"/>
      <c r="E23" s="223"/>
      <c r="F23" s="222"/>
      <c r="G23" s="223"/>
      <c r="H23" s="222"/>
      <c r="I23" s="223"/>
      <c r="J23" s="222"/>
      <c r="K23" s="223"/>
      <c r="L23" s="222"/>
      <c r="M23" s="223"/>
      <c r="N23" s="222"/>
      <c r="O23" s="223"/>
      <c r="P23" s="222"/>
      <c r="Q23" s="223"/>
      <c r="R23" s="222"/>
      <c r="S23" s="223"/>
      <c r="T23" s="222"/>
      <c r="U23" s="223"/>
      <c r="V23" s="222"/>
      <c r="W23" s="223"/>
      <c r="X23" s="222"/>
      <c r="Y23" s="223"/>
      <c r="Z23" s="222"/>
      <c r="AA23" s="223"/>
      <c r="AB23" s="350"/>
      <c r="AC23" s="218"/>
      <c r="AD23" s="73"/>
      <c r="AG23" s="314"/>
      <c r="AH23" s="313"/>
    </row>
    <row r="24" spans="2:34" ht="13.5" customHeight="1">
      <c r="B24" s="617"/>
      <c r="C24" s="101"/>
      <c r="D24" s="222"/>
      <c r="E24" s="223"/>
      <c r="F24" s="222"/>
      <c r="G24" s="223"/>
      <c r="H24" s="222"/>
      <c r="I24" s="223"/>
      <c r="J24" s="222"/>
      <c r="K24" s="223"/>
      <c r="L24" s="222"/>
      <c r="M24" s="223"/>
      <c r="N24" s="222"/>
      <c r="O24" s="223"/>
      <c r="P24" s="222"/>
      <c r="Q24" s="223"/>
      <c r="R24" s="222"/>
      <c r="S24" s="223"/>
      <c r="T24" s="222"/>
      <c r="U24" s="223"/>
      <c r="V24" s="222"/>
      <c r="W24" s="223"/>
      <c r="X24" s="222"/>
      <c r="Y24" s="223"/>
      <c r="Z24" s="222"/>
      <c r="AA24" s="223"/>
      <c r="AB24" s="350"/>
      <c r="AC24" s="218"/>
      <c r="AD24" s="73"/>
      <c r="AG24" s="314"/>
      <c r="AH24" s="313"/>
    </row>
    <row r="25" spans="2:34" ht="13.5" customHeight="1">
      <c r="B25" s="617"/>
      <c r="C25" s="101"/>
      <c r="D25" s="222"/>
      <c r="E25" s="223"/>
      <c r="F25" s="222"/>
      <c r="G25" s="223"/>
      <c r="H25" s="222"/>
      <c r="I25" s="223"/>
      <c r="J25" s="222"/>
      <c r="K25" s="223"/>
      <c r="L25" s="222"/>
      <c r="M25" s="223"/>
      <c r="N25" s="222"/>
      <c r="O25" s="223"/>
      <c r="P25" s="222"/>
      <c r="Q25" s="223"/>
      <c r="R25" s="222"/>
      <c r="S25" s="223"/>
      <c r="T25" s="222"/>
      <c r="U25" s="223"/>
      <c r="V25" s="222"/>
      <c r="W25" s="223"/>
      <c r="X25" s="222"/>
      <c r="Y25" s="223"/>
      <c r="Z25" s="222"/>
      <c r="AA25" s="223"/>
      <c r="AB25" s="350"/>
      <c r="AC25" s="218"/>
      <c r="AD25" s="73"/>
      <c r="AG25" s="314"/>
      <c r="AH25" s="313"/>
    </row>
    <row r="26" spans="2:34" ht="13.5" customHeight="1">
      <c r="B26" s="617"/>
      <c r="C26" s="101"/>
      <c r="D26" s="222"/>
      <c r="E26" s="223"/>
      <c r="F26" s="222"/>
      <c r="G26" s="223"/>
      <c r="H26" s="222"/>
      <c r="I26" s="223"/>
      <c r="J26" s="222"/>
      <c r="K26" s="223"/>
      <c r="L26" s="222"/>
      <c r="M26" s="223"/>
      <c r="N26" s="222"/>
      <c r="O26" s="223"/>
      <c r="P26" s="222"/>
      <c r="Q26" s="223"/>
      <c r="R26" s="222"/>
      <c r="S26" s="223"/>
      <c r="T26" s="222"/>
      <c r="U26" s="223"/>
      <c r="V26" s="222"/>
      <c r="W26" s="223"/>
      <c r="X26" s="222"/>
      <c r="Y26" s="223"/>
      <c r="Z26" s="222"/>
      <c r="AA26" s="223"/>
      <c r="AB26" s="350"/>
      <c r="AC26" s="218"/>
      <c r="AD26" s="73"/>
      <c r="AG26" s="313"/>
      <c r="AH26" s="313"/>
    </row>
    <row r="27" spans="2:34" ht="13.5" customHeight="1">
      <c r="B27" s="617"/>
      <c r="C27" s="101"/>
      <c r="D27" s="222"/>
      <c r="E27" s="223"/>
      <c r="F27" s="222"/>
      <c r="G27" s="223"/>
      <c r="H27" s="222"/>
      <c r="I27" s="223"/>
      <c r="J27" s="222"/>
      <c r="K27" s="223"/>
      <c r="L27" s="222"/>
      <c r="M27" s="223"/>
      <c r="N27" s="222"/>
      <c r="O27" s="223"/>
      <c r="P27" s="222"/>
      <c r="Q27" s="223"/>
      <c r="R27" s="222"/>
      <c r="S27" s="223"/>
      <c r="T27" s="222"/>
      <c r="U27" s="223"/>
      <c r="V27" s="222"/>
      <c r="W27" s="223"/>
      <c r="X27" s="222"/>
      <c r="Y27" s="223"/>
      <c r="Z27" s="222"/>
      <c r="AA27" s="223"/>
      <c r="AB27" s="350"/>
      <c r="AC27" s="218"/>
      <c r="AD27" s="73"/>
      <c r="AG27" s="313"/>
      <c r="AH27" s="313"/>
    </row>
    <row r="28" spans="2:34" ht="13.5" customHeight="1">
      <c r="B28" s="617"/>
      <c r="C28" s="101"/>
      <c r="D28" s="222"/>
      <c r="E28" s="223"/>
      <c r="F28" s="222"/>
      <c r="G28" s="223"/>
      <c r="H28" s="222"/>
      <c r="I28" s="223"/>
      <c r="J28" s="222"/>
      <c r="K28" s="223"/>
      <c r="L28" s="222"/>
      <c r="M28" s="223"/>
      <c r="N28" s="222"/>
      <c r="O28" s="223"/>
      <c r="P28" s="222"/>
      <c r="Q28" s="223"/>
      <c r="R28" s="222"/>
      <c r="S28" s="223"/>
      <c r="T28" s="222"/>
      <c r="U28" s="223"/>
      <c r="V28" s="222"/>
      <c r="W28" s="223"/>
      <c r="X28" s="222"/>
      <c r="Y28" s="223"/>
      <c r="Z28" s="222"/>
      <c r="AA28" s="223"/>
      <c r="AB28" s="350"/>
      <c r="AC28" s="218"/>
      <c r="AD28" s="73"/>
      <c r="AG28" s="313"/>
      <c r="AH28" s="313"/>
    </row>
    <row r="29" spans="2:34" ht="13.5" customHeight="1">
      <c r="B29" s="617"/>
      <c r="C29" s="101"/>
      <c r="D29" s="222"/>
      <c r="E29" s="223"/>
      <c r="F29" s="222"/>
      <c r="G29" s="223"/>
      <c r="H29" s="222"/>
      <c r="I29" s="223"/>
      <c r="J29" s="222"/>
      <c r="K29" s="223"/>
      <c r="L29" s="222"/>
      <c r="M29" s="223"/>
      <c r="N29" s="222"/>
      <c r="O29" s="223"/>
      <c r="P29" s="222"/>
      <c r="Q29" s="223"/>
      <c r="R29" s="222"/>
      <c r="S29" s="223"/>
      <c r="T29" s="222"/>
      <c r="U29" s="223"/>
      <c r="V29" s="222"/>
      <c r="W29" s="223"/>
      <c r="X29" s="222"/>
      <c r="Y29" s="223"/>
      <c r="Z29" s="222"/>
      <c r="AA29" s="223"/>
      <c r="AB29" s="350"/>
      <c r="AC29" s="218"/>
      <c r="AD29" s="73"/>
      <c r="AG29" s="313"/>
      <c r="AH29" s="313"/>
    </row>
    <row r="30" spans="2:34" ht="13.5" customHeight="1">
      <c r="B30" s="617"/>
      <c r="C30" s="101"/>
      <c r="D30" s="222"/>
      <c r="E30" s="223"/>
      <c r="F30" s="222"/>
      <c r="G30" s="223"/>
      <c r="H30" s="222"/>
      <c r="I30" s="223"/>
      <c r="J30" s="222"/>
      <c r="K30" s="223"/>
      <c r="L30" s="222"/>
      <c r="M30" s="223"/>
      <c r="N30" s="222"/>
      <c r="O30" s="223"/>
      <c r="P30" s="222"/>
      <c r="Q30" s="223"/>
      <c r="R30" s="222"/>
      <c r="S30" s="223"/>
      <c r="T30" s="222"/>
      <c r="U30" s="223"/>
      <c r="V30" s="222"/>
      <c r="W30" s="223"/>
      <c r="X30" s="222"/>
      <c r="Y30" s="223"/>
      <c r="Z30" s="222"/>
      <c r="AA30" s="223"/>
      <c r="AB30" s="350"/>
      <c r="AC30" s="218"/>
      <c r="AD30" s="73"/>
      <c r="AG30" s="313"/>
      <c r="AH30" s="313"/>
    </row>
    <row r="31" spans="2:34" ht="13.5" customHeight="1">
      <c r="B31" s="617"/>
      <c r="C31" s="101"/>
      <c r="D31" s="222"/>
      <c r="E31" s="223"/>
      <c r="F31" s="222"/>
      <c r="G31" s="223"/>
      <c r="H31" s="222"/>
      <c r="I31" s="223"/>
      <c r="J31" s="222"/>
      <c r="K31" s="223"/>
      <c r="L31" s="222"/>
      <c r="M31" s="223"/>
      <c r="N31" s="222"/>
      <c r="O31" s="223"/>
      <c r="P31" s="222"/>
      <c r="Q31" s="223"/>
      <c r="R31" s="222"/>
      <c r="S31" s="223"/>
      <c r="T31" s="222"/>
      <c r="U31" s="223"/>
      <c r="V31" s="222"/>
      <c r="W31" s="223"/>
      <c r="X31" s="222"/>
      <c r="Y31" s="223"/>
      <c r="Z31" s="222"/>
      <c r="AA31" s="223"/>
      <c r="AB31" s="350"/>
      <c r="AC31" s="218"/>
      <c r="AD31" s="73"/>
      <c r="AG31" s="313"/>
      <c r="AH31" s="313"/>
    </row>
    <row r="32" spans="2:34" ht="13.5" customHeight="1">
      <c r="B32" s="617"/>
      <c r="C32" s="101"/>
      <c r="D32" s="222"/>
      <c r="E32" s="223"/>
      <c r="F32" s="222"/>
      <c r="G32" s="223"/>
      <c r="H32" s="222"/>
      <c r="I32" s="223"/>
      <c r="J32" s="222"/>
      <c r="K32" s="223"/>
      <c r="L32" s="222"/>
      <c r="M32" s="223"/>
      <c r="N32" s="222"/>
      <c r="O32" s="223"/>
      <c r="P32" s="222"/>
      <c r="Q32" s="223"/>
      <c r="R32" s="222"/>
      <c r="S32" s="223"/>
      <c r="T32" s="222"/>
      <c r="U32" s="223"/>
      <c r="V32" s="222"/>
      <c r="W32" s="223"/>
      <c r="X32" s="222"/>
      <c r="Y32" s="223"/>
      <c r="Z32" s="222"/>
      <c r="AA32" s="223"/>
      <c r="AB32" s="350"/>
      <c r="AC32" s="218"/>
      <c r="AD32" s="73"/>
      <c r="AG32" s="313"/>
      <c r="AH32" s="313"/>
    </row>
    <row r="33" spans="2:34" ht="13.5" customHeight="1">
      <c r="B33" s="617"/>
      <c r="C33" s="101"/>
      <c r="D33" s="222"/>
      <c r="E33" s="223"/>
      <c r="F33" s="222"/>
      <c r="G33" s="223"/>
      <c r="H33" s="222"/>
      <c r="I33" s="223"/>
      <c r="J33" s="222"/>
      <c r="K33" s="223"/>
      <c r="L33" s="222"/>
      <c r="M33" s="223"/>
      <c r="N33" s="222"/>
      <c r="O33" s="223"/>
      <c r="P33" s="222"/>
      <c r="Q33" s="223"/>
      <c r="R33" s="222"/>
      <c r="S33" s="223"/>
      <c r="T33" s="222"/>
      <c r="U33" s="223"/>
      <c r="V33" s="222"/>
      <c r="W33" s="223"/>
      <c r="X33" s="222"/>
      <c r="Y33" s="223"/>
      <c r="Z33" s="222"/>
      <c r="AA33" s="223"/>
      <c r="AB33" s="350"/>
      <c r="AC33" s="218"/>
      <c r="AD33" s="73"/>
      <c r="AG33" s="313"/>
      <c r="AH33" s="313"/>
    </row>
    <row r="34" spans="2:34" ht="13.5" customHeight="1">
      <c r="B34" s="617"/>
      <c r="C34" s="101"/>
      <c r="D34" s="222"/>
      <c r="E34" s="223"/>
      <c r="F34" s="222"/>
      <c r="G34" s="223"/>
      <c r="H34" s="222"/>
      <c r="I34" s="223"/>
      <c r="J34" s="222"/>
      <c r="K34" s="223"/>
      <c r="L34" s="222"/>
      <c r="M34" s="223"/>
      <c r="N34" s="222"/>
      <c r="O34" s="223"/>
      <c r="P34" s="222"/>
      <c r="Q34" s="223"/>
      <c r="R34" s="222"/>
      <c r="S34" s="223"/>
      <c r="T34" s="222"/>
      <c r="U34" s="223"/>
      <c r="V34" s="222"/>
      <c r="W34" s="223"/>
      <c r="X34" s="222"/>
      <c r="Y34" s="223"/>
      <c r="Z34" s="222"/>
      <c r="AA34" s="223"/>
      <c r="AB34" s="350"/>
      <c r="AC34" s="218"/>
      <c r="AD34" s="73"/>
      <c r="AG34" s="313"/>
      <c r="AH34" s="313"/>
    </row>
    <row r="35" spans="2:34" ht="13.5" customHeight="1">
      <c r="B35" s="617"/>
      <c r="C35" s="101"/>
      <c r="D35" s="222"/>
      <c r="E35" s="223"/>
      <c r="F35" s="222"/>
      <c r="G35" s="223"/>
      <c r="H35" s="222"/>
      <c r="I35" s="223"/>
      <c r="J35" s="222"/>
      <c r="K35" s="223"/>
      <c r="L35" s="222"/>
      <c r="M35" s="223"/>
      <c r="N35" s="222"/>
      <c r="O35" s="223"/>
      <c r="P35" s="222"/>
      <c r="Q35" s="223"/>
      <c r="R35" s="222"/>
      <c r="S35" s="223"/>
      <c r="T35" s="222"/>
      <c r="U35" s="223"/>
      <c r="V35" s="222"/>
      <c r="W35" s="223"/>
      <c r="X35" s="222"/>
      <c r="Y35" s="223"/>
      <c r="Z35" s="222"/>
      <c r="AA35" s="223"/>
      <c r="AB35" s="350"/>
      <c r="AC35" s="218"/>
      <c r="AD35" s="73"/>
      <c r="AG35" s="313"/>
      <c r="AH35" s="313"/>
    </row>
    <row r="36" spans="2:34" ht="13.5" customHeight="1" thickBot="1">
      <c r="B36" s="618"/>
      <c r="C36" s="220" t="s">
        <v>114</v>
      </c>
      <c r="D36" s="226">
        <f>SUM(D18:D35)</f>
        <v>0</v>
      </c>
      <c r="E36" s="227"/>
      <c r="F36" s="226">
        <f>SUM(F18:F35)</f>
        <v>0</v>
      </c>
      <c r="G36" s="227"/>
      <c r="H36" s="226">
        <f>SUM(H18:H35)</f>
        <v>0</v>
      </c>
      <c r="I36" s="227"/>
      <c r="J36" s="226">
        <f>SUM(J18:J35)</f>
        <v>0</v>
      </c>
      <c r="K36" s="227"/>
      <c r="L36" s="226">
        <f>SUM(L18:L35)</f>
        <v>190</v>
      </c>
      <c r="M36" s="227"/>
      <c r="N36" s="226">
        <f>SUM(N18:N35)</f>
        <v>0</v>
      </c>
      <c r="O36" s="227"/>
      <c r="P36" s="226">
        <f>SUM(P18:P35)</f>
        <v>0</v>
      </c>
      <c r="Q36" s="227"/>
      <c r="R36" s="226">
        <f>SUM(R18:R35)</f>
        <v>0</v>
      </c>
      <c r="S36" s="227"/>
      <c r="T36" s="226">
        <f>SUM(T18:T35)</f>
        <v>0</v>
      </c>
      <c r="U36" s="227"/>
      <c r="V36" s="226">
        <f>SUM(V18:V35)</f>
        <v>0</v>
      </c>
      <c r="W36" s="227"/>
      <c r="X36" s="226">
        <f>SUM(X18:X35)</f>
        <v>0</v>
      </c>
      <c r="Y36" s="227"/>
      <c r="Z36" s="226">
        <f>SUM(Z18:Z35)</f>
        <v>0</v>
      </c>
      <c r="AA36" s="227"/>
      <c r="AB36" s="228"/>
      <c r="AC36" s="229"/>
      <c r="AD36" s="73"/>
      <c r="AG36" s="313"/>
      <c r="AH36" s="313"/>
    </row>
    <row r="37" spans="2:34" ht="3.75" customHeight="1" thickBot="1">
      <c r="B37" s="230"/>
      <c r="C37" s="231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32"/>
      <c r="S37" s="232"/>
      <c r="T37" s="232"/>
      <c r="U37" s="232"/>
      <c r="V37" s="232"/>
      <c r="W37" s="232"/>
      <c r="X37" s="232"/>
      <c r="Y37" s="232"/>
      <c r="Z37" s="232"/>
      <c r="AA37" s="232"/>
      <c r="AB37" s="233"/>
      <c r="AC37" s="232"/>
      <c r="AD37" s="73"/>
      <c r="AG37" s="313"/>
      <c r="AH37" s="313"/>
    </row>
    <row r="38" spans="2:34" ht="21" customHeight="1" thickBot="1">
      <c r="B38" s="610"/>
      <c r="C38" s="611"/>
      <c r="D38" s="234">
        <f>D17+D36</f>
        <v>0</v>
      </c>
      <c r="E38" s="235">
        <f>SUM(E6:E36)</f>
        <v>0</v>
      </c>
      <c r="F38" s="234">
        <f>F17+F36</f>
        <v>0</v>
      </c>
      <c r="G38" s="235">
        <f>F38-D38</f>
        <v>0</v>
      </c>
      <c r="H38" s="234">
        <f>H17+H36</f>
        <v>0</v>
      </c>
      <c r="I38" s="235">
        <f>H38-F38</f>
        <v>0</v>
      </c>
      <c r="J38" s="234">
        <f>J17+J36</f>
        <v>0</v>
      </c>
      <c r="K38" s="235">
        <f>J38-H38</f>
        <v>0</v>
      </c>
      <c r="L38" s="234">
        <f>L17+L36</f>
        <v>190</v>
      </c>
      <c r="M38" s="235">
        <f>L38-J38</f>
        <v>190</v>
      </c>
      <c r="N38" s="234">
        <f>N17+N36</f>
        <v>0</v>
      </c>
      <c r="O38" s="235">
        <f>N38-L38</f>
        <v>-190</v>
      </c>
      <c r="P38" s="234">
        <f>P17+P36</f>
        <v>0</v>
      </c>
      <c r="Q38" s="235">
        <f>P38-N38</f>
        <v>0</v>
      </c>
      <c r="R38" s="234">
        <f>R17+R36</f>
        <v>0</v>
      </c>
      <c r="S38" s="235">
        <f>R38-P38</f>
        <v>0</v>
      </c>
      <c r="T38" s="234">
        <f>T17+T36</f>
        <v>0</v>
      </c>
      <c r="U38" s="235">
        <f>T38-R38</f>
        <v>0</v>
      </c>
      <c r="V38" s="234">
        <f>V17+V36</f>
        <v>0</v>
      </c>
      <c r="W38" s="235">
        <f>V38-T38</f>
        <v>0</v>
      </c>
      <c r="X38" s="234">
        <f>X17+X36</f>
        <v>0</v>
      </c>
      <c r="Y38" s="235">
        <f>X38-V38</f>
        <v>0</v>
      </c>
      <c r="Z38" s="234">
        <f>Z17+Z36</f>
        <v>0</v>
      </c>
      <c r="AA38" s="235">
        <f>Z38-X38</f>
        <v>0</v>
      </c>
      <c r="AB38" s="236"/>
      <c r="AC38" s="235"/>
      <c r="AD38" s="73"/>
      <c r="AG38" s="313"/>
      <c r="AH38" s="313"/>
    </row>
    <row r="39" spans="2:34" s="12" customFormat="1" ht="15.75" customHeight="1" thickBot="1">
      <c r="B39" s="72"/>
      <c r="C39" s="11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8"/>
      <c r="V39" s="98"/>
      <c r="W39" s="98"/>
      <c r="X39" s="98"/>
      <c r="Y39" s="98"/>
      <c r="Z39" s="98"/>
      <c r="AA39" s="98"/>
      <c r="AB39" s="98"/>
      <c r="AC39" s="98"/>
      <c r="AD39" s="237"/>
      <c r="AG39" s="317"/>
      <c r="AH39" s="317"/>
    </row>
    <row r="40" spans="2:34" s="12" customFormat="1" ht="15.75" customHeight="1" thickBot="1">
      <c r="B40" s="72"/>
      <c r="C40" s="351" t="s">
        <v>146</v>
      </c>
      <c r="D40" s="352"/>
      <c r="E40" s="353"/>
      <c r="F40" s="352"/>
      <c r="G40" s="353"/>
      <c r="H40" s="352"/>
      <c r="I40" s="353"/>
      <c r="J40" s="352"/>
      <c r="K40" s="353"/>
      <c r="L40" s="352"/>
      <c r="M40" s="353"/>
      <c r="N40" s="352"/>
      <c r="O40" s="353"/>
      <c r="P40" s="352"/>
      <c r="Q40" s="353"/>
      <c r="R40" s="352"/>
      <c r="S40" s="353"/>
      <c r="T40" s="352"/>
      <c r="U40" s="353"/>
      <c r="V40" s="352"/>
      <c r="W40" s="353"/>
      <c r="X40" s="352"/>
      <c r="Y40" s="353"/>
      <c r="Z40" s="352"/>
      <c r="AA40" s="353"/>
      <c r="AB40" s="354"/>
      <c r="AC40" s="355"/>
      <c r="AD40" s="237"/>
      <c r="AG40" s="317"/>
      <c r="AH40" s="317"/>
    </row>
    <row r="41" spans="2:34" s="12" customFormat="1" ht="15.75" customHeight="1">
      <c r="B41" s="72"/>
      <c r="C41" s="11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98"/>
      <c r="W41" s="98"/>
      <c r="X41" s="98"/>
      <c r="Y41" s="98"/>
      <c r="Z41" s="98"/>
      <c r="AA41" s="98"/>
      <c r="AB41" s="98"/>
      <c r="AC41" s="98"/>
      <c r="AD41" s="237"/>
      <c r="AG41" s="317"/>
      <c r="AH41" s="317"/>
    </row>
    <row r="42" spans="2:34">
      <c r="B42" s="171"/>
      <c r="C42" s="11" t="s">
        <v>84</v>
      </c>
      <c r="D42" s="356"/>
      <c r="J42" s="181"/>
      <c r="L42" s="181"/>
      <c r="O42" s="181"/>
      <c r="P42" s="99"/>
      <c r="Q42" s="100"/>
    </row>
    <row r="43" spans="2:34">
      <c r="B43" s="170"/>
      <c r="C43" s="11" t="s">
        <v>85</v>
      </c>
      <c r="J43" s="181"/>
    </row>
    <row r="44" spans="2:34">
      <c r="B44" s="172"/>
      <c r="C44" s="11" t="s">
        <v>86</v>
      </c>
      <c r="Q44" s="100"/>
    </row>
    <row r="46" spans="2:34"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</sheetData>
  <mergeCells count="18">
    <mergeCell ref="B6:B17"/>
    <mergeCell ref="B18:B36"/>
    <mergeCell ref="B4:C5"/>
    <mergeCell ref="AG5:AH5"/>
    <mergeCell ref="B38:C38"/>
    <mergeCell ref="V4:W4"/>
    <mergeCell ref="T4:U4"/>
    <mergeCell ref="X4:Y4"/>
    <mergeCell ref="AB4:AC4"/>
    <mergeCell ref="D4:E4"/>
    <mergeCell ref="H4:I4"/>
    <mergeCell ref="J4:K4"/>
    <mergeCell ref="L4:M4"/>
    <mergeCell ref="N4:O4"/>
    <mergeCell ref="P4:Q4"/>
    <mergeCell ref="R4:S4"/>
    <mergeCell ref="Z4:AA4"/>
    <mergeCell ref="F4:G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C_FEV1">
    <outlinePr summaryBelow="0"/>
  </sheetPr>
  <dimension ref="A1:AK580"/>
  <sheetViews>
    <sheetView showGridLines="0" defaultGridColor="0" showWhiteSpace="0" colorId="22" zoomScale="130" zoomScaleNormal="130" zoomScaleSheetLayoutView="100" workbookViewId="0">
      <pane xSplit="25" ySplit="6" topLeftCell="AB516" activePane="bottomRight" state="frozen"/>
      <selection pane="topRight" activeCell="Z1" sqref="Z1"/>
      <selection pane="bottomLeft" activeCell="A7" sqref="A7"/>
      <selection pane="bottomRight" activeCell="J335" sqref="J335"/>
    </sheetView>
  </sheetViews>
  <sheetFormatPr baseColWidth="10" defaultColWidth="9.1640625" defaultRowHeight="14.5" customHeight="1" outlineLevelRow="1"/>
  <cols>
    <col min="1" max="1" width="1" style="477" customWidth="1"/>
    <col min="2" max="2" width="3.83203125" style="474" customWidth="1"/>
    <col min="3" max="3" width="6.33203125" style="526" customWidth="1"/>
    <col min="4" max="4" width="23.83203125" style="477" customWidth="1"/>
    <col min="5" max="5" width="11.5" style="479" customWidth="1"/>
    <col min="6" max="6" width="8.83203125" style="479" customWidth="1"/>
    <col min="7" max="7" width="3.1640625" style="479" customWidth="1"/>
    <col min="8" max="8" width="3.1640625" style="398" customWidth="1"/>
    <col min="9" max="9" width="0.6640625" style="481" customWidth="1"/>
    <col min="10" max="10" width="8.6640625" style="477" customWidth="1"/>
    <col min="11" max="11" width="20.5" style="477" customWidth="1"/>
    <col min="12" max="12" width="11.1640625" style="482" customWidth="1"/>
    <col min="13" max="13" width="4.33203125" style="384" bestFit="1" customWidth="1"/>
    <col min="14" max="15" width="0.6640625" style="477" customWidth="1"/>
    <col min="16" max="16" width="8.1640625" style="483" hidden="1" customWidth="1"/>
    <col min="17" max="17" width="4.5" style="477" hidden="1" customWidth="1"/>
    <col min="18" max="18" width="7.33203125" style="477" customWidth="1"/>
    <col min="19" max="19" width="40.1640625" style="477" customWidth="1"/>
    <col min="20" max="20" width="11.5" style="482" customWidth="1"/>
    <col min="21" max="21" width="5.33203125" style="385" customWidth="1"/>
    <col min="22" max="22" width="8.83203125" style="386" customWidth="1"/>
    <col min="23" max="23" width="10.5" style="387" customWidth="1"/>
    <col min="24" max="24" width="3.1640625" style="429" customWidth="1"/>
    <col min="25" max="25" width="3.1640625" style="430" customWidth="1"/>
    <col min="26" max="26" width="1" style="477" customWidth="1"/>
    <col min="27" max="27" width="8.6640625" style="368" customWidth="1"/>
    <col min="28" max="28" width="3.33203125" style="368" customWidth="1"/>
    <col min="29" max="29" width="8.6640625" style="368" customWidth="1"/>
    <col min="30" max="30" width="3.33203125" style="368" customWidth="1"/>
    <col min="31" max="31" width="8.6640625" style="368" customWidth="1"/>
    <col min="32" max="32" width="3.33203125" style="368" customWidth="1"/>
    <col min="33" max="33" width="8.6640625" style="368" customWidth="1"/>
    <col min="34" max="34" width="3.33203125" style="368" customWidth="1"/>
    <col min="35" max="35" width="8.6640625" style="368" customWidth="1"/>
    <col min="36" max="36" width="3.33203125" style="368" customWidth="1"/>
    <col min="37" max="37" width="9.1640625" style="477" customWidth="1"/>
    <col min="38" max="16384" width="9.1640625" style="477"/>
  </cols>
  <sheetData>
    <row r="1" spans="1:37" ht="6.75" customHeight="1" thickBot="1">
      <c r="C1" s="525"/>
      <c r="F1" s="480"/>
      <c r="J1" s="478"/>
    </row>
    <row r="2" spans="1:37" ht="28.75" customHeight="1">
      <c r="A2" s="477" t="s">
        <v>149</v>
      </c>
      <c r="B2" s="628" t="s">
        <v>169</v>
      </c>
      <c r="C2" s="628"/>
      <c r="D2" s="628"/>
      <c r="E2" s="630" t="s">
        <v>171</v>
      </c>
      <c r="F2" s="630"/>
      <c r="G2" s="629">
        <f>L2+L3</f>
        <v>0</v>
      </c>
      <c r="H2" s="629"/>
      <c r="I2" s="629"/>
      <c r="J2" s="629"/>
      <c r="K2" s="530" t="s">
        <v>167</v>
      </c>
      <c r="L2" s="629">
        <f>SUM(L7:L332)</f>
        <v>0</v>
      </c>
      <c r="M2" s="629"/>
      <c r="N2" s="366"/>
      <c r="O2" s="461"/>
      <c r="P2" s="462"/>
      <c r="Q2" s="462"/>
      <c r="R2" s="620" t="s">
        <v>163</v>
      </c>
      <c r="S2" s="620"/>
      <c r="T2" s="620"/>
      <c r="U2" s="620"/>
      <c r="V2" s="620"/>
      <c r="W2" s="620"/>
      <c r="X2" s="620"/>
      <c r="Y2" s="621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481"/>
    </row>
    <row r="3" spans="1:37" ht="31.75" customHeight="1">
      <c r="A3" s="477" t="s">
        <v>150</v>
      </c>
      <c r="B3" s="628"/>
      <c r="C3" s="628"/>
      <c r="D3" s="628"/>
      <c r="E3" s="631" t="s">
        <v>170</v>
      </c>
      <c r="F3" s="631"/>
      <c r="G3" s="629">
        <f>L2+L4</f>
        <v>0</v>
      </c>
      <c r="H3" s="629"/>
      <c r="I3" s="629"/>
      <c r="J3" s="629"/>
      <c r="K3" s="530" t="s">
        <v>168</v>
      </c>
      <c r="L3" s="629">
        <f>SUM(E7:E332)</f>
        <v>0</v>
      </c>
      <c r="M3" s="629"/>
      <c r="N3" s="366"/>
      <c r="O3" s="463"/>
      <c r="P3" s="262"/>
      <c r="Q3" s="262"/>
      <c r="R3" s="622"/>
      <c r="S3" s="622"/>
      <c r="T3" s="622"/>
      <c r="U3" s="622"/>
      <c r="V3" s="622"/>
      <c r="W3" s="622"/>
      <c r="X3" s="622"/>
      <c r="Y3" s="623"/>
      <c r="AA3" s="366"/>
      <c r="AB3" s="366"/>
      <c r="AC3" s="366"/>
      <c r="AD3" s="366"/>
      <c r="AE3" s="366"/>
      <c r="AF3" s="366"/>
      <c r="AG3" s="366"/>
      <c r="AH3" s="366"/>
      <c r="AI3" s="366"/>
      <c r="AJ3" s="366"/>
      <c r="AK3" s="481"/>
    </row>
    <row r="4" spans="1:37" ht="46.75" customHeight="1" thickBot="1">
      <c r="B4" s="628" t="s">
        <v>162</v>
      </c>
      <c r="C4" s="628"/>
      <c r="D4" s="628"/>
      <c r="E4" s="629">
        <f>SUM(L335:L485)</f>
        <v>0</v>
      </c>
      <c r="F4" s="629"/>
      <c r="G4" s="629"/>
      <c r="H4" s="629"/>
      <c r="I4" s="529"/>
      <c r="K4" s="531" t="s">
        <v>172</v>
      </c>
      <c r="L4" s="629">
        <f>SUM(E341:E485)</f>
        <v>0</v>
      </c>
      <c r="M4" s="629"/>
      <c r="O4" s="484"/>
      <c r="P4" s="485"/>
      <c r="Q4" s="486"/>
      <c r="R4" s="624"/>
      <c r="S4" s="624"/>
      <c r="T4" s="624"/>
      <c r="U4" s="624"/>
      <c r="V4" s="624"/>
      <c r="W4" s="624"/>
      <c r="X4" s="624"/>
      <c r="Y4" s="625"/>
      <c r="AA4" s="487"/>
      <c r="AB4" s="488"/>
      <c r="AC4" s="487"/>
      <c r="AD4" s="488"/>
      <c r="AE4" s="487"/>
      <c r="AF4" s="488"/>
      <c r="AG4" s="487"/>
      <c r="AH4" s="488"/>
      <c r="AI4" s="487"/>
      <c r="AJ4" s="488"/>
      <c r="AK4" s="481"/>
    </row>
    <row r="5" spans="1:37" ht="20.25" customHeight="1">
      <c r="B5" s="626" t="s">
        <v>159</v>
      </c>
      <c r="C5" s="626"/>
      <c r="D5" s="626"/>
      <c r="E5" s="626"/>
      <c r="F5" s="626"/>
      <c r="G5" s="626"/>
      <c r="H5" s="626"/>
      <c r="I5" s="626"/>
      <c r="J5" s="626"/>
      <c r="K5" s="626"/>
      <c r="L5" s="626"/>
      <c r="M5" s="626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431"/>
      <c r="Y5" s="432"/>
      <c r="AA5" s="487"/>
      <c r="AB5" s="489"/>
      <c r="AC5" s="487"/>
      <c r="AD5" s="489"/>
      <c r="AE5" s="487"/>
      <c r="AF5" s="489"/>
      <c r="AG5" s="487"/>
      <c r="AH5" s="489"/>
      <c r="AI5" s="487"/>
      <c r="AJ5" s="489"/>
      <c r="AK5" s="481"/>
    </row>
    <row r="6" spans="1:37" ht="20.25" customHeight="1" outlineLevel="1">
      <c r="B6" s="475" t="s">
        <v>77</v>
      </c>
      <c r="C6" s="265" t="s">
        <v>33</v>
      </c>
      <c r="D6" s="264" t="s">
        <v>154</v>
      </c>
      <c r="E6" s="266" t="s">
        <v>109</v>
      </c>
      <c r="F6" s="359" t="s">
        <v>73</v>
      </c>
      <c r="G6" s="393" t="s">
        <v>35</v>
      </c>
      <c r="H6" s="360" t="s">
        <v>152</v>
      </c>
      <c r="I6" s="397"/>
      <c r="J6" s="263" t="s">
        <v>33</v>
      </c>
      <c r="K6" s="264" t="s">
        <v>155</v>
      </c>
      <c r="L6" s="322" t="s">
        <v>109</v>
      </c>
      <c r="M6" s="359" t="s">
        <v>73</v>
      </c>
      <c r="O6" s="490"/>
      <c r="P6" s="491" t="s">
        <v>160</v>
      </c>
      <c r="Q6" s="316"/>
      <c r="R6" s="361" t="s">
        <v>33</v>
      </c>
      <c r="S6" s="362" t="s">
        <v>34</v>
      </c>
      <c r="T6" s="363" t="s">
        <v>91</v>
      </c>
      <c r="U6" s="363" t="s">
        <v>151</v>
      </c>
      <c r="V6" s="364" t="s">
        <v>73</v>
      </c>
      <c r="W6" s="365" t="s">
        <v>148</v>
      </c>
      <c r="X6" s="433" t="s">
        <v>35</v>
      </c>
      <c r="Y6" s="434" t="s">
        <v>152</v>
      </c>
      <c r="AA6" s="487"/>
      <c r="AB6" s="489"/>
      <c r="AC6" s="487"/>
      <c r="AD6" s="489"/>
      <c r="AE6" s="487"/>
      <c r="AF6" s="489"/>
      <c r="AG6" s="487"/>
      <c r="AH6" s="489"/>
      <c r="AI6" s="487"/>
      <c r="AJ6" s="489"/>
      <c r="AK6" s="481"/>
    </row>
    <row r="7" spans="1:37" ht="15" outlineLevel="1">
      <c r="B7" s="413">
        <v>1</v>
      </c>
      <c r="C7" s="442"/>
      <c r="D7" s="404"/>
      <c r="E7" s="405"/>
      <c r="F7" s="407" t="s">
        <v>59</v>
      </c>
      <c r="G7" s="458"/>
      <c r="H7" s="459"/>
      <c r="I7" s="492"/>
      <c r="J7" s="442"/>
      <c r="K7" s="404"/>
      <c r="L7" s="405"/>
      <c r="M7" s="407"/>
      <c r="N7" s="493"/>
      <c r="O7" s="494"/>
      <c r="P7" s="495" t="s">
        <v>149</v>
      </c>
      <c r="Q7" s="496"/>
      <c r="R7" s="441"/>
      <c r="S7" s="399"/>
      <c r="T7" s="400"/>
      <c r="U7" s="401"/>
      <c r="V7" s="402"/>
      <c r="W7" s="402"/>
      <c r="X7" s="435"/>
      <c r="Y7" s="436"/>
      <c r="AA7" s="477"/>
      <c r="AB7" s="477"/>
      <c r="AC7" s="477"/>
      <c r="AD7" s="477"/>
      <c r="AE7" s="477"/>
      <c r="AF7" s="477"/>
      <c r="AG7" s="477"/>
      <c r="AH7" s="477"/>
      <c r="AI7" s="477"/>
      <c r="AJ7" s="477"/>
    </row>
    <row r="8" spans="1:37" ht="15" outlineLevel="1">
      <c r="B8" s="414">
        <v>8</v>
      </c>
      <c r="C8" s="442"/>
      <c r="D8" s="404"/>
      <c r="E8" s="405"/>
      <c r="F8" s="407"/>
      <c r="G8" s="458"/>
      <c r="H8" s="459"/>
      <c r="I8" s="492"/>
      <c r="J8" s="442"/>
      <c r="K8" s="404"/>
      <c r="L8" s="405"/>
      <c r="M8" s="407"/>
      <c r="N8" s="493"/>
      <c r="O8" s="494"/>
      <c r="P8" s="495" t="s">
        <v>150</v>
      </c>
      <c r="Q8" s="496"/>
      <c r="R8" s="442"/>
      <c r="S8" s="404"/>
      <c r="T8" s="405"/>
      <c r="U8" s="406"/>
      <c r="V8" s="407"/>
      <c r="W8" s="407"/>
      <c r="X8" s="435"/>
      <c r="Y8" s="436"/>
      <c r="AA8" s="477"/>
      <c r="AB8" s="477"/>
      <c r="AC8" s="477"/>
      <c r="AD8" s="477"/>
      <c r="AE8" s="477"/>
      <c r="AF8" s="477"/>
      <c r="AG8" s="477"/>
      <c r="AH8" s="477"/>
      <c r="AI8" s="477"/>
      <c r="AJ8" s="477"/>
    </row>
    <row r="9" spans="1:37" ht="15" outlineLevel="1">
      <c r="B9" s="414">
        <v>9</v>
      </c>
      <c r="C9" s="442"/>
      <c r="D9" s="404"/>
      <c r="E9" s="405"/>
      <c r="F9" s="407"/>
      <c r="G9" s="458"/>
      <c r="H9" s="459"/>
      <c r="I9" s="492"/>
      <c r="J9" s="442"/>
      <c r="K9" s="404"/>
      <c r="L9" s="405"/>
      <c r="M9" s="407"/>
      <c r="N9" s="493"/>
      <c r="O9" s="494"/>
      <c r="P9" s="495" t="s">
        <v>153</v>
      </c>
      <c r="Q9" s="496"/>
      <c r="R9" s="442"/>
      <c r="S9" s="404"/>
      <c r="T9" s="405"/>
      <c r="U9" s="406"/>
      <c r="V9" s="407"/>
      <c r="W9" s="407" t="s">
        <v>153</v>
      </c>
      <c r="X9" s="435"/>
      <c r="Y9" s="436"/>
      <c r="AA9" s="477"/>
      <c r="AB9" s="477"/>
      <c r="AC9" s="477"/>
      <c r="AD9" s="477"/>
      <c r="AE9" s="477"/>
      <c r="AF9" s="477"/>
      <c r="AG9" s="477"/>
      <c r="AH9" s="477"/>
      <c r="AI9" s="477"/>
      <c r="AJ9" s="477"/>
    </row>
    <row r="10" spans="1:37" ht="15" outlineLevel="1">
      <c r="B10" s="414">
        <v>10</v>
      </c>
      <c r="C10" s="442"/>
      <c r="D10" s="404"/>
      <c r="E10" s="405"/>
      <c r="F10" s="407"/>
      <c r="G10" s="458"/>
      <c r="H10" s="459"/>
      <c r="I10" s="492"/>
      <c r="J10" s="442"/>
      <c r="K10" s="404"/>
      <c r="L10" s="405"/>
      <c r="M10" s="407"/>
      <c r="N10" s="493"/>
      <c r="O10" s="494"/>
      <c r="P10" s="495"/>
      <c r="Q10" s="496"/>
      <c r="R10" s="442"/>
      <c r="S10" s="404"/>
      <c r="T10" s="405"/>
      <c r="U10" s="406"/>
      <c r="V10" s="407"/>
      <c r="W10" s="407"/>
      <c r="X10" s="435"/>
      <c r="Y10" s="436"/>
      <c r="AA10" s="477"/>
      <c r="AB10" s="477"/>
      <c r="AC10" s="477"/>
      <c r="AD10" s="477"/>
      <c r="AE10" s="477"/>
      <c r="AF10" s="477"/>
      <c r="AG10" s="477"/>
      <c r="AH10" s="477"/>
      <c r="AI10" s="477"/>
      <c r="AJ10" s="477"/>
    </row>
    <row r="11" spans="1:37" ht="15" outlineLevel="1">
      <c r="B11" s="414">
        <v>11</v>
      </c>
      <c r="C11" s="442"/>
      <c r="D11" s="404"/>
      <c r="E11" s="405"/>
      <c r="F11" s="407"/>
      <c r="G11" s="458"/>
      <c r="H11" s="459"/>
      <c r="I11" s="492"/>
      <c r="J11" s="442"/>
      <c r="K11" s="404"/>
      <c r="L11" s="405"/>
      <c r="M11" s="407"/>
      <c r="N11" s="493"/>
      <c r="O11" s="494"/>
      <c r="P11" s="495" t="s">
        <v>161</v>
      </c>
      <c r="Q11" s="496"/>
      <c r="R11" s="442"/>
      <c r="S11" s="404"/>
      <c r="T11" s="405"/>
      <c r="U11" s="406"/>
      <c r="V11" s="407"/>
      <c r="W11" s="407"/>
      <c r="X11" s="435"/>
      <c r="Y11" s="436"/>
      <c r="AA11" s="477"/>
      <c r="AB11" s="477"/>
      <c r="AC11" s="477"/>
      <c r="AD11" s="477"/>
      <c r="AE11" s="477"/>
      <c r="AF11" s="477"/>
      <c r="AG11" s="477"/>
      <c r="AH11" s="477"/>
      <c r="AI11" s="477"/>
      <c r="AJ11" s="477"/>
    </row>
    <row r="12" spans="1:37" ht="15" outlineLevel="1">
      <c r="B12" s="414">
        <v>13</v>
      </c>
      <c r="C12" s="442"/>
      <c r="D12" s="404"/>
      <c r="E12" s="405"/>
      <c r="F12" s="407"/>
      <c r="G12" s="458"/>
      <c r="H12" s="459"/>
      <c r="I12" s="492"/>
      <c r="J12" s="442"/>
      <c r="K12" s="404"/>
      <c r="L12" s="405"/>
      <c r="M12" s="407"/>
      <c r="N12" s="493"/>
      <c r="O12" s="494"/>
      <c r="P12" s="497">
        <v>1</v>
      </c>
      <c r="Q12" s="496"/>
      <c r="R12" s="442"/>
      <c r="S12" s="404"/>
      <c r="T12" s="405"/>
      <c r="U12" s="406"/>
      <c r="V12" s="407"/>
      <c r="W12" s="407"/>
      <c r="X12" s="435"/>
      <c r="Y12" s="436"/>
      <c r="AA12" s="477"/>
      <c r="AB12" s="477"/>
      <c r="AC12" s="477"/>
      <c r="AD12" s="477"/>
      <c r="AE12" s="477"/>
      <c r="AF12" s="477"/>
      <c r="AG12" s="477"/>
      <c r="AH12" s="477"/>
      <c r="AI12" s="477"/>
      <c r="AJ12" s="477"/>
    </row>
    <row r="13" spans="1:37" ht="15" outlineLevel="1">
      <c r="B13" s="414">
        <v>14</v>
      </c>
      <c r="C13" s="442"/>
      <c r="D13" s="404"/>
      <c r="E13" s="405"/>
      <c r="F13" s="407"/>
      <c r="G13" s="456"/>
      <c r="H13" s="457"/>
      <c r="I13" s="492"/>
      <c r="J13" s="442"/>
      <c r="K13" s="404"/>
      <c r="L13" s="405"/>
      <c r="M13" s="407"/>
      <c r="N13" s="493"/>
      <c r="O13" s="494"/>
      <c r="P13" s="497">
        <v>2</v>
      </c>
      <c r="Q13" s="496"/>
      <c r="R13" s="442"/>
      <c r="S13" s="404"/>
      <c r="T13" s="405"/>
      <c r="U13" s="406"/>
      <c r="V13" s="407"/>
      <c r="W13" s="407"/>
      <c r="X13" s="435"/>
      <c r="Y13" s="436"/>
      <c r="AA13" s="477"/>
      <c r="AB13" s="477"/>
      <c r="AC13" s="477"/>
      <c r="AD13" s="477"/>
      <c r="AE13" s="477"/>
      <c r="AF13" s="477"/>
      <c r="AG13" s="477"/>
      <c r="AH13" s="477"/>
      <c r="AI13" s="477"/>
      <c r="AJ13" s="477"/>
    </row>
    <row r="14" spans="1:37" ht="15" outlineLevel="1">
      <c r="B14" s="414">
        <v>15</v>
      </c>
      <c r="C14" s="442"/>
      <c r="D14" s="404"/>
      <c r="E14" s="405"/>
      <c r="F14" s="407"/>
      <c r="G14" s="458"/>
      <c r="H14" s="459"/>
      <c r="I14" s="492"/>
      <c r="J14" s="442"/>
      <c r="K14" s="404"/>
      <c r="L14" s="405"/>
      <c r="M14" s="407"/>
      <c r="N14" s="493"/>
      <c r="O14" s="494"/>
      <c r="P14" s="497">
        <v>3</v>
      </c>
      <c r="Q14" s="496"/>
      <c r="R14" s="442"/>
      <c r="S14" s="404"/>
      <c r="T14" s="405"/>
      <c r="U14" s="406"/>
      <c r="V14" s="407"/>
      <c r="W14" s="407"/>
      <c r="X14" s="435"/>
      <c r="Y14" s="436"/>
      <c r="AA14" s="477"/>
      <c r="AB14" s="477"/>
      <c r="AC14" s="477"/>
      <c r="AD14" s="477"/>
      <c r="AE14" s="477"/>
      <c r="AF14" s="477"/>
      <c r="AG14" s="477"/>
      <c r="AH14" s="477"/>
      <c r="AI14" s="477"/>
      <c r="AJ14" s="477"/>
    </row>
    <row r="15" spans="1:37" ht="15" outlineLevel="1">
      <c r="B15" s="414">
        <v>16</v>
      </c>
      <c r="C15" s="442"/>
      <c r="D15" s="404"/>
      <c r="E15" s="405"/>
      <c r="F15" s="407"/>
      <c r="G15" s="458"/>
      <c r="H15" s="459"/>
      <c r="I15" s="492"/>
      <c r="J15" s="442"/>
      <c r="K15" s="404"/>
      <c r="L15" s="405"/>
      <c r="M15" s="407"/>
      <c r="N15" s="493"/>
      <c r="O15" s="494"/>
      <c r="P15" s="497">
        <v>4</v>
      </c>
      <c r="Q15" s="496"/>
      <c r="R15" s="442"/>
      <c r="S15" s="404"/>
      <c r="T15" s="405"/>
      <c r="U15" s="406"/>
      <c r="V15" s="407"/>
      <c r="W15" s="407"/>
      <c r="X15" s="435"/>
      <c r="Y15" s="436"/>
      <c r="AA15" s="477"/>
      <c r="AB15" s="477"/>
      <c r="AC15" s="477"/>
      <c r="AD15" s="477"/>
      <c r="AE15" s="477"/>
      <c r="AF15" s="477"/>
      <c r="AG15" s="477"/>
      <c r="AH15" s="477"/>
      <c r="AI15" s="477"/>
      <c r="AJ15" s="477"/>
    </row>
    <row r="16" spans="1:37" ht="15" outlineLevel="1">
      <c r="B16" s="414">
        <v>17</v>
      </c>
      <c r="C16" s="442"/>
      <c r="D16" s="404"/>
      <c r="E16" s="405"/>
      <c r="F16" s="407"/>
      <c r="G16" s="458"/>
      <c r="H16" s="459"/>
      <c r="I16" s="492"/>
      <c r="J16" s="442"/>
      <c r="K16" s="404"/>
      <c r="L16" s="405"/>
      <c r="M16" s="407"/>
      <c r="N16" s="493"/>
      <c r="O16" s="494"/>
      <c r="P16" s="497">
        <v>5</v>
      </c>
      <c r="Q16" s="496"/>
      <c r="R16" s="442"/>
      <c r="S16" s="404"/>
      <c r="T16" s="405"/>
      <c r="U16" s="406"/>
      <c r="V16" s="407"/>
      <c r="W16" s="407"/>
      <c r="X16" s="435"/>
      <c r="Y16" s="436"/>
      <c r="AA16" s="477"/>
      <c r="AB16" s="477"/>
      <c r="AC16" s="477"/>
      <c r="AD16" s="477"/>
      <c r="AE16" s="477"/>
      <c r="AF16" s="477"/>
      <c r="AG16" s="477"/>
      <c r="AH16" s="477"/>
      <c r="AI16" s="477"/>
      <c r="AJ16" s="477"/>
    </row>
    <row r="17" spans="2:36" ht="15" outlineLevel="1">
      <c r="B17" s="414">
        <v>19</v>
      </c>
      <c r="C17" s="442"/>
      <c r="D17" s="404"/>
      <c r="E17" s="405"/>
      <c r="F17" s="407"/>
      <c r="G17" s="458"/>
      <c r="H17" s="459"/>
      <c r="I17" s="492"/>
      <c r="J17" s="442"/>
      <c r="K17" s="404"/>
      <c r="L17" s="405"/>
      <c r="M17" s="407"/>
      <c r="N17" s="493"/>
      <c r="O17" s="494"/>
      <c r="P17" s="497">
        <v>6</v>
      </c>
      <c r="Q17" s="496"/>
      <c r="R17" s="442"/>
      <c r="S17" s="404"/>
      <c r="T17" s="405"/>
      <c r="U17" s="406"/>
      <c r="V17" s="407"/>
      <c r="W17" s="407"/>
      <c r="X17" s="435"/>
      <c r="Y17" s="436"/>
      <c r="AA17" s="477"/>
      <c r="AB17" s="477"/>
      <c r="AC17" s="477"/>
      <c r="AD17" s="477"/>
      <c r="AE17" s="477"/>
      <c r="AF17" s="477"/>
      <c r="AG17" s="477"/>
      <c r="AH17" s="477"/>
      <c r="AI17" s="477"/>
      <c r="AJ17" s="477"/>
    </row>
    <row r="18" spans="2:36" ht="15" outlineLevel="1">
      <c r="B18" s="414">
        <v>21</v>
      </c>
      <c r="C18" s="442"/>
      <c r="D18" s="404"/>
      <c r="E18" s="405"/>
      <c r="F18" s="407"/>
      <c r="G18" s="458"/>
      <c r="H18" s="459"/>
      <c r="I18" s="492"/>
      <c r="J18" s="442"/>
      <c r="K18" s="404"/>
      <c r="L18" s="405"/>
      <c r="M18" s="407"/>
      <c r="N18" s="493"/>
      <c r="O18" s="494"/>
      <c r="P18" s="497">
        <v>7</v>
      </c>
      <c r="Q18" s="496"/>
      <c r="R18" s="442"/>
      <c r="S18" s="404"/>
      <c r="T18" s="405"/>
      <c r="U18" s="406"/>
      <c r="V18" s="407"/>
      <c r="W18" s="407"/>
      <c r="X18" s="435"/>
      <c r="Y18" s="436"/>
      <c r="AA18" s="477"/>
      <c r="AB18" s="477"/>
      <c r="AC18" s="477"/>
      <c r="AD18" s="477"/>
      <c r="AE18" s="477"/>
      <c r="AF18" s="477"/>
      <c r="AG18" s="477"/>
      <c r="AH18" s="477"/>
      <c r="AI18" s="477"/>
      <c r="AJ18" s="477"/>
    </row>
    <row r="19" spans="2:36" ht="15" outlineLevel="1">
      <c r="B19" s="414">
        <v>19</v>
      </c>
      <c r="C19" s="442"/>
      <c r="D19" s="404"/>
      <c r="E19" s="405"/>
      <c r="F19" s="407"/>
      <c r="G19" s="458"/>
      <c r="H19" s="459"/>
      <c r="I19" s="492"/>
      <c r="J19" s="442"/>
      <c r="K19" s="404"/>
      <c r="L19" s="405"/>
      <c r="M19" s="407"/>
      <c r="N19" s="493"/>
      <c r="O19" s="494"/>
      <c r="P19" s="497">
        <v>8</v>
      </c>
      <c r="Q19" s="496"/>
      <c r="R19" s="442"/>
      <c r="S19" s="404"/>
      <c r="T19" s="405"/>
      <c r="U19" s="406"/>
      <c r="V19" s="407"/>
      <c r="W19" s="407"/>
      <c r="X19" s="435"/>
      <c r="Y19" s="436"/>
      <c r="AA19" s="477"/>
      <c r="AB19" s="477"/>
      <c r="AC19" s="477"/>
      <c r="AD19" s="477"/>
      <c r="AE19" s="477"/>
      <c r="AF19" s="477"/>
      <c r="AG19" s="477"/>
      <c r="AH19" s="477"/>
      <c r="AI19" s="477"/>
      <c r="AJ19" s="477"/>
    </row>
    <row r="20" spans="2:36" ht="15" outlineLevel="1">
      <c r="B20" s="414">
        <v>20</v>
      </c>
      <c r="C20" s="442"/>
      <c r="D20" s="404"/>
      <c r="E20" s="405"/>
      <c r="F20" s="407"/>
      <c r="G20" s="456"/>
      <c r="H20" s="457"/>
      <c r="I20" s="492"/>
      <c r="J20" s="442"/>
      <c r="K20" s="404"/>
      <c r="L20" s="405"/>
      <c r="M20" s="407"/>
      <c r="N20" s="493"/>
      <c r="O20" s="494"/>
      <c r="P20" s="497">
        <v>9</v>
      </c>
      <c r="Q20" s="496"/>
      <c r="R20" s="442"/>
      <c r="S20" s="404"/>
      <c r="T20" s="405"/>
      <c r="U20" s="406"/>
      <c r="V20" s="407"/>
      <c r="W20" s="407"/>
      <c r="X20" s="435"/>
      <c r="Y20" s="436"/>
      <c r="AA20" s="477"/>
      <c r="AB20" s="477"/>
      <c r="AC20" s="477"/>
      <c r="AD20" s="477"/>
      <c r="AE20" s="477"/>
      <c r="AF20" s="477"/>
      <c r="AG20" s="477"/>
      <c r="AH20" s="477"/>
      <c r="AI20" s="477"/>
      <c r="AJ20" s="477"/>
    </row>
    <row r="21" spans="2:36" ht="15" outlineLevel="1">
      <c r="B21" s="414">
        <v>21</v>
      </c>
      <c r="C21" s="442"/>
      <c r="D21" s="404"/>
      <c r="E21" s="405"/>
      <c r="F21" s="407"/>
      <c r="G21" s="458"/>
      <c r="H21" s="459"/>
      <c r="I21" s="492"/>
      <c r="J21" s="442"/>
      <c r="K21" s="404"/>
      <c r="L21" s="405"/>
      <c r="M21" s="407"/>
      <c r="N21" s="493"/>
      <c r="O21" s="494"/>
      <c r="P21" s="497">
        <v>10</v>
      </c>
      <c r="Q21" s="496"/>
      <c r="R21" s="442"/>
      <c r="S21" s="404"/>
      <c r="T21" s="405"/>
      <c r="U21" s="406"/>
      <c r="V21" s="407"/>
      <c r="W21" s="407"/>
      <c r="X21" s="435"/>
      <c r="Y21" s="436"/>
      <c r="AA21" s="477"/>
      <c r="AB21" s="477"/>
      <c r="AC21" s="477"/>
      <c r="AD21" s="477"/>
      <c r="AE21" s="477"/>
      <c r="AF21" s="477"/>
      <c r="AG21" s="477"/>
      <c r="AH21" s="477"/>
      <c r="AI21" s="477"/>
      <c r="AJ21" s="477"/>
    </row>
    <row r="22" spans="2:36" ht="15" outlineLevel="1">
      <c r="B22" s="414">
        <v>16</v>
      </c>
      <c r="C22" s="442"/>
      <c r="D22" s="404"/>
      <c r="E22" s="405"/>
      <c r="F22" s="407"/>
      <c r="G22" s="458"/>
      <c r="H22" s="459"/>
      <c r="I22" s="492"/>
      <c r="J22" s="442"/>
      <c r="K22" s="404"/>
      <c r="L22" s="405"/>
      <c r="M22" s="407"/>
      <c r="N22" s="493"/>
      <c r="O22" s="494"/>
      <c r="P22" s="497">
        <v>11</v>
      </c>
      <c r="Q22" s="496"/>
      <c r="R22" s="442"/>
      <c r="S22" s="404"/>
      <c r="T22" s="405"/>
      <c r="U22" s="406"/>
      <c r="V22" s="407"/>
      <c r="W22" s="407"/>
      <c r="X22" s="435"/>
      <c r="Y22" s="436"/>
      <c r="AA22" s="477"/>
      <c r="AB22" s="477"/>
      <c r="AC22" s="477"/>
      <c r="AD22" s="477"/>
      <c r="AE22" s="477"/>
      <c r="AF22" s="477"/>
      <c r="AG22" s="477"/>
      <c r="AH22" s="477"/>
      <c r="AI22" s="477"/>
      <c r="AJ22" s="477"/>
    </row>
    <row r="23" spans="2:36" ht="15" outlineLevel="1">
      <c r="B23" s="414">
        <v>17</v>
      </c>
      <c r="C23" s="442"/>
      <c r="D23" s="404"/>
      <c r="E23" s="405"/>
      <c r="F23" s="407"/>
      <c r="G23" s="458"/>
      <c r="H23" s="459"/>
      <c r="I23" s="492"/>
      <c r="J23" s="442"/>
      <c r="K23" s="404"/>
      <c r="L23" s="405"/>
      <c r="M23" s="407"/>
      <c r="N23" s="493"/>
      <c r="O23" s="494"/>
      <c r="P23" s="497">
        <v>12</v>
      </c>
      <c r="Q23" s="496"/>
      <c r="R23" s="442"/>
      <c r="S23" s="404"/>
      <c r="T23" s="405"/>
      <c r="U23" s="406"/>
      <c r="V23" s="407"/>
      <c r="W23" s="407"/>
      <c r="X23" s="435"/>
      <c r="Y23" s="436"/>
      <c r="AA23" s="477"/>
      <c r="AB23" s="477"/>
      <c r="AC23" s="477"/>
      <c r="AD23" s="477"/>
      <c r="AE23" s="477"/>
      <c r="AF23" s="477"/>
      <c r="AG23" s="477"/>
      <c r="AH23" s="477"/>
      <c r="AI23" s="477"/>
      <c r="AJ23" s="477"/>
    </row>
    <row r="24" spans="2:36" ht="15" outlineLevel="1">
      <c r="B24" s="414">
        <v>18</v>
      </c>
      <c r="C24" s="442"/>
      <c r="D24" s="404"/>
      <c r="E24" s="405"/>
      <c r="F24" s="407"/>
      <c r="G24" s="458"/>
      <c r="H24" s="459"/>
      <c r="I24" s="492"/>
      <c r="J24" s="442"/>
      <c r="K24" s="404"/>
      <c r="L24" s="405"/>
      <c r="M24" s="407"/>
      <c r="N24" s="493"/>
      <c r="O24" s="494"/>
      <c r="P24" s="497">
        <v>13</v>
      </c>
      <c r="Q24" s="496"/>
      <c r="R24" s="442"/>
      <c r="S24" s="404"/>
      <c r="T24" s="405"/>
      <c r="U24" s="406"/>
      <c r="V24" s="407"/>
      <c r="W24" s="407"/>
      <c r="X24" s="435"/>
      <c r="Y24" s="436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</row>
    <row r="25" spans="2:36" ht="15" outlineLevel="1">
      <c r="B25" s="414">
        <v>19</v>
      </c>
      <c r="C25" s="442"/>
      <c r="D25" s="404"/>
      <c r="E25" s="405"/>
      <c r="F25" s="407"/>
      <c r="G25" s="458"/>
      <c r="H25" s="459"/>
      <c r="I25" s="492"/>
      <c r="J25" s="442"/>
      <c r="K25" s="404"/>
      <c r="L25" s="405"/>
      <c r="M25" s="407"/>
      <c r="N25" s="493"/>
      <c r="O25" s="494"/>
      <c r="P25" s="497">
        <v>14</v>
      </c>
      <c r="Q25" s="496"/>
      <c r="R25" s="442"/>
      <c r="S25" s="404"/>
      <c r="T25" s="405"/>
      <c r="U25" s="406"/>
      <c r="V25" s="407"/>
      <c r="W25" s="407"/>
      <c r="X25" s="435"/>
      <c r="Y25" s="436"/>
      <c r="AA25" s="477"/>
      <c r="AB25" s="477"/>
      <c r="AC25" s="477"/>
      <c r="AD25" s="477"/>
      <c r="AE25" s="477"/>
      <c r="AF25" s="477"/>
      <c r="AG25" s="477"/>
      <c r="AH25" s="477"/>
      <c r="AI25" s="477"/>
      <c r="AJ25" s="477"/>
    </row>
    <row r="26" spans="2:36" ht="15" outlineLevel="1">
      <c r="B26" s="414">
        <v>20</v>
      </c>
      <c r="C26" s="442"/>
      <c r="D26" s="404"/>
      <c r="E26" s="405"/>
      <c r="F26" s="407"/>
      <c r="G26" s="458"/>
      <c r="H26" s="459"/>
      <c r="I26" s="492"/>
      <c r="J26" s="442"/>
      <c r="K26" s="404"/>
      <c r="L26" s="405"/>
      <c r="M26" s="407"/>
      <c r="N26" s="369"/>
      <c r="O26" s="369"/>
      <c r="P26" s="497">
        <v>15</v>
      </c>
      <c r="Q26" s="259"/>
      <c r="R26" s="442"/>
      <c r="S26" s="404"/>
      <c r="T26" s="405"/>
      <c r="U26" s="406"/>
      <c r="V26" s="407"/>
      <c r="W26" s="407"/>
      <c r="X26" s="435"/>
      <c r="Y26" s="436"/>
      <c r="AA26" s="477"/>
      <c r="AB26" s="477"/>
      <c r="AC26" s="477"/>
      <c r="AD26" s="477"/>
      <c r="AE26" s="477"/>
      <c r="AF26" s="477"/>
      <c r="AG26" s="477"/>
      <c r="AH26" s="477"/>
      <c r="AI26" s="477"/>
      <c r="AJ26" s="477"/>
    </row>
    <row r="27" spans="2:36" ht="15" outlineLevel="1">
      <c r="B27" s="414">
        <v>21</v>
      </c>
      <c r="C27" s="442"/>
      <c r="D27" s="404"/>
      <c r="E27" s="405"/>
      <c r="F27" s="407"/>
      <c r="G27" s="458"/>
      <c r="H27" s="459"/>
      <c r="I27" s="492"/>
      <c r="J27" s="442"/>
      <c r="K27" s="404"/>
      <c r="L27" s="405"/>
      <c r="M27" s="407"/>
      <c r="N27" s="369"/>
      <c r="O27" s="369"/>
      <c r="P27" s="497">
        <v>16</v>
      </c>
      <c r="Q27" s="259"/>
      <c r="R27" s="442"/>
      <c r="S27" s="404"/>
      <c r="T27" s="405"/>
      <c r="U27" s="406"/>
      <c r="V27" s="407"/>
      <c r="W27" s="407"/>
      <c r="X27" s="435"/>
      <c r="Y27" s="436"/>
      <c r="AA27" s="477"/>
      <c r="AB27" s="477"/>
      <c r="AC27" s="477"/>
      <c r="AD27" s="477"/>
      <c r="AE27" s="477"/>
      <c r="AF27" s="477"/>
      <c r="AG27" s="477"/>
      <c r="AH27" s="477"/>
      <c r="AI27" s="477"/>
      <c r="AJ27" s="477"/>
    </row>
    <row r="28" spans="2:36" ht="15" outlineLevel="1">
      <c r="B28" s="414">
        <v>22</v>
      </c>
      <c r="C28" s="442"/>
      <c r="D28" s="404"/>
      <c r="E28" s="405"/>
      <c r="F28" s="407"/>
      <c r="G28" s="458"/>
      <c r="H28" s="459"/>
      <c r="I28" s="492"/>
      <c r="J28" s="442"/>
      <c r="K28" s="404"/>
      <c r="L28" s="405"/>
      <c r="M28" s="407"/>
      <c r="N28" s="369"/>
      <c r="O28" s="369"/>
      <c r="P28" s="497">
        <v>17</v>
      </c>
      <c r="Q28" s="259"/>
      <c r="R28" s="442"/>
      <c r="S28" s="404"/>
      <c r="T28" s="405"/>
      <c r="U28" s="406"/>
      <c r="V28" s="407"/>
      <c r="W28" s="407"/>
      <c r="X28" s="435"/>
      <c r="Y28" s="436"/>
      <c r="AA28" s="477"/>
      <c r="AB28" s="477"/>
      <c r="AC28" s="477"/>
      <c r="AD28" s="477"/>
      <c r="AE28" s="477"/>
      <c r="AF28" s="477"/>
      <c r="AG28" s="477"/>
      <c r="AH28" s="477"/>
      <c r="AI28" s="477"/>
      <c r="AJ28" s="477"/>
    </row>
    <row r="29" spans="2:36" ht="15" outlineLevel="1">
      <c r="B29" s="414">
        <v>23</v>
      </c>
      <c r="C29" s="442"/>
      <c r="D29" s="404"/>
      <c r="E29" s="405"/>
      <c r="F29" s="407"/>
      <c r="G29" s="458"/>
      <c r="H29" s="459"/>
      <c r="I29" s="492"/>
      <c r="J29" s="442"/>
      <c r="K29" s="404"/>
      <c r="L29" s="405"/>
      <c r="M29" s="407"/>
      <c r="N29" s="369"/>
      <c r="O29" s="369"/>
      <c r="P29" s="497">
        <v>18</v>
      </c>
      <c r="Q29" s="259"/>
      <c r="R29" s="442"/>
      <c r="S29" s="404"/>
      <c r="T29" s="405"/>
      <c r="U29" s="406"/>
      <c r="V29" s="407"/>
      <c r="W29" s="407"/>
      <c r="X29" s="435"/>
      <c r="Y29" s="436"/>
      <c r="AA29" s="477"/>
      <c r="AB29" s="477"/>
      <c r="AC29" s="477"/>
      <c r="AD29" s="477"/>
      <c r="AE29" s="477"/>
      <c r="AF29" s="477"/>
      <c r="AG29" s="477"/>
      <c r="AH29" s="477"/>
      <c r="AI29" s="477"/>
      <c r="AJ29" s="477"/>
    </row>
    <row r="30" spans="2:36" ht="15" outlineLevel="1">
      <c r="B30" s="414">
        <v>24</v>
      </c>
      <c r="C30" s="442"/>
      <c r="D30" s="404"/>
      <c r="E30" s="405"/>
      <c r="F30" s="407"/>
      <c r="G30" s="458"/>
      <c r="H30" s="459"/>
      <c r="I30" s="492"/>
      <c r="J30" s="442"/>
      <c r="K30" s="404"/>
      <c r="L30" s="405"/>
      <c r="M30" s="407"/>
      <c r="N30" s="369"/>
      <c r="O30" s="369"/>
      <c r="P30" s="497">
        <v>19</v>
      </c>
      <c r="Q30" s="259"/>
      <c r="R30" s="442"/>
      <c r="S30" s="404"/>
      <c r="T30" s="405"/>
      <c r="U30" s="406"/>
      <c r="V30" s="407"/>
      <c r="W30" s="407"/>
      <c r="X30" s="435"/>
      <c r="Y30" s="436"/>
      <c r="AA30" s="477"/>
      <c r="AB30" s="477"/>
      <c r="AC30" s="477"/>
      <c r="AD30" s="477"/>
      <c r="AE30" s="477"/>
      <c r="AF30" s="477"/>
      <c r="AG30" s="477"/>
      <c r="AH30" s="477"/>
      <c r="AI30" s="477"/>
      <c r="AJ30" s="477"/>
    </row>
    <row r="31" spans="2:36" ht="15" outlineLevel="1">
      <c r="B31" s="414">
        <v>25</v>
      </c>
      <c r="C31" s="442"/>
      <c r="D31" s="404"/>
      <c r="E31" s="405"/>
      <c r="F31" s="407"/>
      <c r="G31" s="458"/>
      <c r="H31" s="459"/>
      <c r="I31" s="492"/>
      <c r="J31" s="442"/>
      <c r="K31" s="404"/>
      <c r="L31" s="405"/>
      <c r="M31" s="407"/>
      <c r="N31" s="369"/>
      <c r="O31" s="369"/>
      <c r="P31" s="497">
        <v>20</v>
      </c>
      <c r="Q31" s="259"/>
      <c r="R31" s="442"/>
      <c r="S31" s="404"/>
      <c r="T31" s="405"/>
      <c r="U31" s="406"/>
      <c r="V31" s="407"/>
      <c r="W31" s="407"/>
      <c r="X31" s="435"/>
      <c r="Y31" s="436"/>
      <c r="AA31" s="477"/>
      <c r="AB31" s="477"/>
      <c r="AC31" s="477"/>
      <c r="AD31" s="477"/>
      <c r="AE31" s="477"/>
      <c r="AF31" s="477"/>
      <c r="AG31" s="477"/>
      <c r="AH31" s="477"/>
      <c r="AI31" s="477"/>
      <c r="AJ31" s="477"/>
    </row>
    <row r="32" spans="2:36" ht="15" outlineLevel="1">
      <c r="B32" s="414">
        <v>26</v>
      </c>
      <c r="C32" s="442"/>
      <c r="D32" s="404"/>
      <c r="E32" s="405"/>
      <c r="F32" s="407"/>
      <c r="G32" s="458"/>
      <c r="H32" s="459"/>
      <c r="I32" s="492"/>
      <c r="J32" s="442"/>
      <c r="K32" s="404"/>
      <c r="L32" s="405"/>
      <c r="M32" s="407"/>
      <c r="N32" s="369"/>
      <c r="O32" s="369"/>
      <c r="P32" s="259"/>
      <c r="Q32" s="259"/>
      <c r="R32" s="442"/>
      <c r="S32" s="404"/>
      <c r="T32" s="405"/>
      <c r="U32" s="406"/>
      <c r="V32" s="407"/>
      <c r="W32" s="407"/>
      <c r="X32" s="435"/>
      <c r="Y32" s="436"/>
      <c r="AA32" s="477"/>
      <c r="AB32" s="477"/>
      <c r="AC32" s="477"/>
      <c r="AD32" s="477"/>
      <c r="AE32" s="477"/>
      <c r="AF32" s="477"/>
      <c r="AG32" s="477"/>
      <c r="AH32" s="477"/>
      <c r="AI32" s="477"/>
      <c r="AJ32" s="477"/>
    </row>
    <row r="33" spans="2:36" ht="15" outlineLevel="1">
      <c r="B33" s="414">
        <v>27</v>
      </c>
      <c r="C33" s="442"/>
      <c r="D33" s="404"/>
      <c r="E33" s="405"/>
      <c r="F33" s="407"/>
      <c r="G33" s="458"/>
      <c r="H33" s="459"/>
      <c r="I33" s="492"/>
      <c r="J33" s="442"/>
      <c r="K33" s="404"/>
      <c r="L33" s="405"/>
      <c r="M33" s="407"/>
      <c r="N33" s="369"/>
      <c r="O33" s="369"/>
      <c r="P33" s="259"/>
      <c r="Q33" s="259"/>
      <c r="R33" s="442"/>
      <c r="S33" s="404"/>
      <c r="T33" s="405"/>
      <c r="U33" s="406"/>
      <c r="V33" s="407"/>
      <c r="W33" s="407"/>
      <c r="X33" s="435"/>
      <c r="Y33" s="436"/>
      <c r="AA33" s="477"/>
      <c r="AB33" s="477"/>
      <c r="AC33" s="477"/>
      <c r="AD33" s="477"/>
      <c r="AE33" s="477"/>
      <c r="AF33" s="477"/>
      <c r="AG33" s="477"/>
      <c r="AH33" s="477"/>
      <c r="AI33" s="477"/>
      <c r="AJ33" s="477"/>
    </row>
    <row r="34" spans="2:36" ht="15" outlineLevel="1">
      <c r="B34" s="414">
        <v>28</v>
      </c>
      <c r="C34" s="442"/>
      <c r="D34" s="404"/>
      <c r="E34" s="405"/>
      <c r="F34" s="407"/>
      <c r="G34" s="458"/>
      <c r="H34" s="459"/>
      <c r="I34" s="492"/>
      <c r="J34" s="442"/>
      <c r="K34" s="404"/>
      <c r="L34" s="405"/>
      <c r="M34" s="407"/>
      <c r="N34" s="369"/>
      <c r="O34" s="369"/>
      <c r="P34" s="259"/>
      <c r="Q34" s="259"/>
      <c r="R34" s="442"/>
      <c r="S34" s="404"/>
      <c r="T34" s="405"/>
      <c r="U34" s="406"/>
      <c r="V34" s="407"/>
      <c r="W34" s="407"/>
      <c r="X34" s="435"/>
      <c r="Y34" s="436"/>
      <c r="AA34" s="477"/>
      <c r="AB34" s="477"/>
      <c r="AC34" s="477"/>
      <c r="AD34" s="477"/>
      <c r="AE34" s="477"/>
      <c r="AF34" s="477"/>
      <c r="AG34" s="477"/>
      <c r="AH34" s="477"/>
      <c r="AI34" s="477"/>
      <c r="AJ34" s="477"/>
    </row>
    <row r="35" spans="2:36" ht="15" outlineLevel="1">
      <c r="B35" s="414">
        <v>29</v>
      </c>
      <c r="C35" s="442"/>
      <c r="D35" s="404"/>
      <c r="E35" s="405"/>
      <c r="F35" s="407"/>
      <c r="G35" s="458"/>
      <c r="H35" s="459"/>
      <c r="I35" s="492"/>
      <c r="J35" s="442"/>
      <c r="K35" s="404"/>
      <c r="L35" s="405"/>
      <c r="M35" s="407"/>
      <c r="N35" s="369"/>
      <c r="O35" s="369"/>
      <c r="P35" s="259"/>
      <c r="Q35" s="259"/>
      <c r="R35" s="442"/>
      <c r="S35" s="404"/>
      <c r="T35" s="405"/>
      <c r="U35" s="406"/>
      <c r="V35" s="407"/>
      <c r="W35" s="407"/>
      <c r="X35" s="435"/>
      <c r="Y35" s="436"/>
      <c r="AA35" s="477"/>
      <c r="AB35" s="477"/>
      <c r="AC35" s="477"/>
      <c r="AD35" s="477"/>
      <c r="AE35" s="477"/>
      <c r="AF35" s="477"/>
      <c r="AG35" s="477"/>
      <c r="AH35" s="477"/>
      <c r="AI35" s="477"/>
      <c r="AJ35" s="477"/>
    </row>
    <row r="36" spans="2:36" ht="15" outlineLevel="1">
      <c r="B36" s="414">
        <v>30</v>
      </c>
      <c r="C36" s="442"/>
      <c r="D36" s="404"/>
      <c r="E36" s="405"/>
      <c r="F36" s="407"/>
      <c r="G36" s="458"/>
      <c r="H36" s="459"/>
      <c r="I36" s="492"/>
      <c r="J36" s="442"/>
      <c r="K36" s="404"/>
      <c r="L36" s="405"/>
      <c r="M36" s="407"/>
      <c r="N36" s="369"/>
      <c r="O36" s="369"/>
      <c r="P36" s="259"/>
      <c r="Q36" s="259"/>
      <c r="R36" s="442"/>
      <c r="S36" s="404"/>
      <c r="T36" s="405"/>
      <c r="U36" s="406"/>
      <c r="V36" s="407"/>
      <c r="W36" s="407"/>
      <c r="X36" s="435"/>
      <c r="Y36" s="436"/>
      <c r="AA36" s="477"/>
      <c r="AB36" s="477"/>
      <c r="AC36" s="477"/>
      <c r="AD36" s="477"/>
      <c r="AE36" s="477"/>
      <c r="AF36" s="477"/>
      <c r="AG36" s="477"/>
      <c r="AH36" s="477"/>
      <c r="AI36" s="477"/>
      <c r="AJ36" s="477"/>
    </row>
    <row r="37" spans="2:36" ht="15" outlineLevel="1">
      <c r="B37" s="414">
        <v>31</v>
      </c>
      <c r="C37" s="442"/>
      <c r="D37" s="404"/>
      <c r="E37" s="405"/>
      <c r="F37" s="407"/>
      <c r="G37" s="499"/>
      <c r="H37" s="500"/>
      <c r="I37" s="492"/>
      <c r="J37" s="442"/>
      <c r="K37" s="404"/>
      <c r="L37" s="405"/>
      <c r="M37" s="407"/>
      <c r="N37" s="369"/>
      <c r="O37" s="369"/>
      <c r="P37" s="259"/>
      <c r="Q37" s="259"/>
      <c r="R37" s="442"/>
      <c r="S37" s="404"/>
      <c r="T37" s="405"/>
      <c r="U37" s="406"/>
      <c r="V37" s="407"/>
      <c r="W37" s="407"/>
      <c r="X37" s="435"/>
      <c r="Y37" s="436"/>
      <c r="AA37" s="477"/>
      <c r="AB37" s="477"/>
      <c r="AC37" s="477"/>
      <c r="AD37" s="477"/>
      <c r="AE37" s="477"/>
      <c r="AF37" s="477"/>
      <c r="AG37" s="477"/>
      <c r="AH37" s="477"/>
      <c r="AI37" s="477"/>
      <c r="AJ37" s="477"/>
    </row>
    <row r="38" spans="2:36" ht="15" outlineLevel="1">
      <c r="B38" s="414">
        <v>32</v>
      </c>
      <c r="C38" s="442"/>
      <c r="D38" s="404"/>
      <c r="E38" s="405"/>
      <c r="F38" s="407"/>
      <c r="G38" s="499"/>
      <c r="H38" s="500"/>
      <c r="I38" s="492"/>
      <c r="J38" s="442"/>
      <c r="K38" s="404"/>
      <c r="L38" s="405"/>
      <c r="M38" s="407"/>
      <c r="N38" s="369"/>
      <c r="O38" s="369"/>
      <c r="P38" s="259"/>
      <c r="Q38" s="259"/>
      <c r="R38" s="442"/>
      <c r="S38" s="404"/>
      <c r="T38" s="405"/>
      <c r="U38" s="406"/>
      <c r="V38" s="407"/>
      <c r="W38" s="407"/>
      <c r="X38" s="435"/>
      <c r="Y38" s="436"/>
      <c r="AA38" s="477"/>
      <c r="AB38" s="477"/>
      <c r="AC38" s="477"/>
      <c r="AD38" s="477"/>
      <c r="AE38" s="477"/>
      <c r="AF38" s="477"/>
      <c r="AG38" s="477"/>
      <c r="AH38" s="477"/>
      <c r="AI38" s="477"/>
      <c r="AJ38" s="477"/>
    </row>
    <row r="39" spans="2:36" ht="15" outlineLevel="1">
      <c r="B39" s="414">
        <v>33</v>
      </c>
      <c r="C39" s="442"/>
      <c r="D39" s="404"/>
      <c r="E39" s="405"/>
      <c r="F39" s="407"/>
      <c r="G39" s="499"/>
      <c r="H39" s="500"/>
      <c r="I39" s="492"/>
      <c r="J39" s="442"/>
      <c r="K39" s="404"/>
      <c r="L39" s="405"/>
      <c r="M39" s="407"/>
      <c r="N39" s="369"/>
      <c r="O39" s="369"/>
      <c r="P39" s="259"/>
      <c r="Q39" s="259"/>
      <c r="R39" s="442"/>
      <c r="S39" s="404"/>
      <c r="T39" s="405"/>
      <c r="U39" s="406"/>
      <c r="V39" s="407"/>
      <c r="W39" s="407"/>
      <c r="X39" s="435"/>
      <c r="Y39" s="436"/>
      <c r="AA39" s="477"/>
      <c r="AB39" s="477"/>
      <c r="AC39" s="477"/>
      <c r="AD39" s="477"/>
      <c r="AE39" s="477"/>
      <c r="AF39" s="477"/>
      <c r="AG39" s="477"/>
      <c r="AH39" s="477"/>
      <c r="AI39" s="477"/>
      <c r="AJ39" s="477"/>
    </row>
    <row r="40" spans="2:36" ht="15" outlineLevel="1">
      <c r="B40" s="414">
        <v>34</v>
      </c>
      <c r="C40" s="442"/>
      <c r="D40" s="404"/>
      <c r="E40" s="405"/>
      <c r="F40" s="407"/>
      <c r="G40" s="499"/>
      <c r="H40" s="500"/>
      <c r="I40" s="492"/>
      <c r="J40" s="442"/>
      <c r="K40" s="404"/>
      <c r="L40" s="405"/>
      <c r="M40" s="407"/>
      <c r="N40" s="369"/>
      <c r="O40" s="369"/>
      <c r="P40" s="259"/>
      <c r="Q40" s="259"/>
      <c r="R40" s="442"/>
      <c r="S40" s="404"/>
      <c r="T40" s="405"/>
      <c r="U40" s="406"/>
      <c r="V40" s="407"/>
      <c r="W40" s="407"/>
      <c r="X40" s="435"/>
      <c r="Y40" s="436"/>
      <c r="AA40" s="477"/>
      <c r="AB40" s="477"/>
      <c r="AC40" s="477"/>
      <c r="AD40" s="477"/>
      <c r="AE40" s="477"/>
      <c r="AF40" s="477"/>
      <c r="AG40" s="477"/>
      <c r="AH40" s="477"/>
      <c r="AI40" s="477"/>
      <c r="AJ40" s="477"/>
    </row>
    <row r="41" spans="2:36" ht="15" outlineLevel="1">
      <c r="B41" s="414">
        <v>35</v>
      </c>
      <c r="C41" s="442"/>
      <c r="D41" s="404"/>
      <c r="E41" s="405"/>
      <c r="F41" s="407"/>
      <c r="G41" s="499"/>
      <c r="H41" s="500"/>
      <c r="I41" s="492"/>
      <c r="J41" s="442"/>
      <c r="K41" s="404"/>
      <c r="L41" s="405"/>
      <c r="M41" s="407"/>
      <c r="N41" s="369"/>
      <c r="O41" s="369"/>
      <c r="P41" s="259"/>
      <c r="Q41" s="259"/>
      <c r="R41" s="442"/>
      <c r="S41" s="404"/>
      <c r="T41" s="405"/>
      <c r="U41" s="406"/>
      <c r="V41" s="407"/>
      <c r="W41" s="407"/>
      <c r="X41" s="435"/>
      <c r="Y41" s="436"/>
      <c r="AA41" s="477"/>
      <c r="AB41" s="477"/>
      <c r="AC41" s="477"/>
      <c r="AD41" s="477"/>
      <c r="AE41" s="477"/>
      <c r="AF41" s="477"/>
      <c r="AG41" s="477"/>
      <c r="AH41" s="477"/>
      <c r="AI41" s="477"/>
      <c r="AJ41" s="477"/>
    </row>
    <row r="42" spans="2:36" ht="15" outlineLevel="1">
      <c r="B42" s="414">
        <v>36</v>
      </c>
      <c r="C42" s="442"/>
      <c r="D42" s="404"/>
      <c r="E42" s="405"/>
      <c r="F42" s="407"/>
      <c r="G42" s="499"/>
      <c r="H42" s="500"/>
      <c r="I42" s="492"/>
      <c r="J42" s="442"/>
      <c r="K42" s="404"/>
      <c r="L42" s="405"/>
      <c r="M42" s="407"/>
      <c r="N42" s="369"/>
      <c r="O42" s="369"/>
      <c r="P42" s="259"/>
      <c r="Q42" s="259"/>
      <c r="R42" s="442"/>
      <c r="S42" s="404"/>
      <c r="T42" s="405"/>
      <c r="U42" s="406"/>
      <c r="V42" s="407"/>
      <c r="W42" s="407"/>
      <c r="X42" s="435"/>
      <c r="Y42" s="436"/>
      <c r="AA42" s="477"/>
      <c r="AB42" s="477"/>
      <c r="AC42" s="477"/>
      <c r="AD42" s="477"/>
      <c r="AE42" s="477"/>
      <c r="AF42" s="477"/>
      <c r="AG42" s="477"/>
      <c r="AH42" s="477"/>
      <c r="AI42" s="477"/>
      <c r="AJ42" s="477"/>
    </row>
    <row r="43" spans="2:36" ht="15" outlineLevel="1">
      <c r="B43" s="414">
        <v>37</v>
      </c>
      <c r="C43" s="442"/>
      <c r="D43" s="404"/>
      <c r="E43" s="405"/>
      <c r="F43" s="407"/>
      <c r="G43" s="499"/>
      <c r="H43" s="500"/>
      <c r="I43" s="492"/>
      <c r="J43" s="442"/>
      <c r="K43" s="404"/>
      <c r="L43" s="405"/>
      <c r="M43" s="407"/>
      <c r="N43" s="369"/>
      <c r="O43" s="369"/>
      <c r="P43" s="259"/>
      <c r="Q43" s="259"/>
      <c r="R43" s="442"/>
      <c r="S43" s="404"/>
      <c r="T43" s="405"/>
      <c r="U43" s="406"/>
      <c r="V43" s="407"/>
      <c r="W43" s="407"/>
      <c r="X43" s="435"/>
      <c r="Y43" s="436"/>
      <c r="AA43" s="477"/>
      <c r="AB43" s="477"/>
      <c r="AC43" s="477"/>
      <c r="AD43" s="477"/>
      <c r="AE43" s="477"/>
      <c r="AF43" s="477"/>
      <c r="AG43" s="477"/>
      <c r="AH43" s="477"/>
      <c r="AI43" s="477"/>
      <c r="AJ43" s="477"/>
    </row>
    <row r="44" spans="2:36" ht="15" outlineLevel="1">
      <c r="B44" s="414">
        <v>38</v>
      </c>
      <c r="C44" s="442"/>
      <c r="D44" s="404"/>
      <c r="E44" s="405"/>
      <c r="F44" s="407"/>
      <c r="G44" s="499"/>
      <c r="H44" s="500"/>
      <c r="I44" s="492"/>
      <c r="J44" s="442"/>
      <c r="K44" s="404"/>
      <c r="L44" s="405"/>
      <c r="M44" s="407"/>
      <c r="N44" s="369"/>
      <c r="O44" s="369"/>
      <c r="P44" s="259"/>
      <c r="Q44" s="259"/>
      <c r="R44" s="442"/>
      <c r="S44" s="404"/>
      <c r="T44" s="405"/>
      <c r="U44" s="406"/>
      <c r="V44" s="407"/>
      <c r="W44" s="407"/>
      <c r="X44" s="435"/>
      <c r="Y44" s="436"/>
      <c r="AA44" s="477"/>
      <c r="AB44" s="477"/>
      <c r="AC44" s="477"/>
      <c r="AD44" s="477"/>
      <c r="AE44" s="477"/>
      <c r="AF44" s="477"/>
      <c r="AG44" s="477"/>
      <c r="AH44" s="477"/>
      <c r="AI44" s="477"/>
      <c r="AJ44" s="477"/>
    </row>
    <row r="45" spans="2:36" ht="15" outlineLevel="1">
      <c r="B45" s="414">
        <v>39</v>
      </c>
      <c r="C45" s="442"/>
      <c r="D45" s="404"/>
      <c r="E45" s="405"/>
      <c r="F45" s="407"/>
      <c r="G45" s="499"/>
      <c r="H45" s="500"/>
      <c r="I45" s="492"/>
      <c r="J45" s="442"/>
      <c r="K45" s="404"/>
      <c r="L45" s="405"/>
      <c r="M45" s="407"/>
      <c r="N45" s="369"/>
      <c r="O45" s="369"/>
      <c r="P45" s="259"/>
      <c r="Q45" s="259"/>
      <c r="R45" s="442"/>
      <c r="S45" s="404"/>
      <c r="T45" s="405"/>
      <c r="U45" s="406"/>
      <c r="V45" s="407"/>
      <c r="W45" s="407"/>
      <c r="X45" s="435"/>
      <c r="Y45" s="436"/>
      <c r="AA45" s="477"/>
      <c r="AB45" s="477"/>
      <c r="AC45" s="477"/>
      <c r="AD45" s="477"/>
      <c r="AE45" s="477"/>
      <c r="AF45" s="477"/>
      <c r="AG45" s="477"/>
      <c r="AH45" s="477"/>
      <c r="AI45" s="477"/>
      <c r="AJ45" s="477"/>
    </row>
    <row r="46" spans="2:36" ht="15" outlineLevel="1">
      <c r="B46" s="414">
        <v>40</v>
      </c>
      <c r="C46" s="442"/>
      <c r="D46" s="404"/>
      <c r="E46" s="405"/>
      <c r="F46" s="407"/>
      <c r="G46" s="499"/>
      <c r="H46" s="500"/>
      <c r="I46" s="492"/>
      <c r="J46" s="442"/>
      <c r="K46" s="404"/>
      <c r="L46" s="405"/>
      <c r="M46" s="407"/>
      <c r="N46" s="369"/>
      <c r="O46" s="369"/>
      <c r="P46" s="259"/>
      <c r="Q46" s="259"/>
      <c r="R46" s="442"/>
      <c r="S46" s="404"/>
      <c r="T46" s="405"/>
      <c r="U46" s="406"/>
      <c r="V46" s="407"/>
      <c r="W46" s="407"/>
      <c r="X46" s="435"/>
      <c r="Y46" s="436"/>
      <c r="AA46" s="477"/>
      <c r="AB46" s="477"/>
      <c r="AC46" s="477"/>
      <c r="AD46" s="477"/>
      <c r="AE46" s="477"/>
      <c r="AF46" s="477"/>
      <c r="AG46" s="477"/>
      <c r="AH46" s="477"/>
      <c r="AI46" s="477"/>
      <c r="AJ46" s="477"/>
    </row>
    <row r="47" spans="2:36" ht="15" outlineLevel="1">
      <c r="B47" s="414">
        <v>41</v>
      </c>
      <c r="C47" s="442"/>
      <c r="D47" s="404"/>
      <c r="E47" s="405"/>
      <c r="F47" s="407"/>
      <c r="G47" s="499"/>
      <c r="H47" s="500"/>
      <c r="I47" s="492"/>
      <c r="J47" s="442"/>
      <c r="K47" s="404"/>
      <c r="L47" s="405"/>
      <c r="M47" s="407"/>
      <c r="N47" s="369"/>
      <c r="O47" s="369"/>
      <c r="P47" s="259"/>
      <c r="Q47" s="259"/>
      <c r="R47" s="442"/>
      <c r="S47" s="404"/>
      <c r="T47" s="405"/>
      <c r="U47" s="406"/>
      <c r="V47" s="407"/>
      <c r="W47" s="407"/>
      <c r="X47" s="435"/>
      <c r="Y47" s="436"/>
      <c r="AA47" s="477"/>
      <c r="AB47" s="477"/>
      <c r="AC47" s="477"/>
      <c r="AD47" s="477"/>
      <c r="AE47" s="477"/>
      <c r="AF47" s="477"/>
      <c r="AG47" s="477"/>
      <c r="AH47" s="477"/>
      <c r="AI47" s="477"/>
      <c r="AJ47" s="477"/>
    </row>
    <row r="48" spans="2:36" ht="15" outlineLevel="1">
      <c r="B48" s="414">
        <v>42</v>
      </c>
      <c r="C48" s="442"/>
      <c r="D48" s="404"/>
      <c r="E48" s="405"/>
      <c r="F48" s="407"/>
      <c r="G48" s="499"/>
      <c r="H48" s="500"/>
      <c r="I48" s="492"/>
      <c r="J48" s="442"/>
      <c r="K48" s="404"/>
      <c r="L48" s="405"/>
      <c r="M48" s="407"/>
      <c r="N48" s="369"/>
      <c r="O48" s="369"/>
      <c r="P48" s="259"/>
      <c r="Q48" s="259"/>
      <c r="R48" s="442"/>
      <c r="S48" s="404"/>
      <c r="T48" s="405"/>
      <c r="U48" s="406"/>
      <c r="V48" s="407"/>
      <c r="W48" s="407"/>
      <c r="X48" s="435"/>
      <c r="Y48" s="436"/>
      <c r="AA48" s="477"/>
      <c r="AB48" s="477"/>
      <c r="AC48" s="477"/>
      <c r="AD48" s="477"/>
      <c r="AE48" s="477"/>
      <c r="AF48" s="477"/>
      <c r="AG48" s="477"/>
      <c r="AH48" s="477"/>
      <c r="AI48" s="477"/>
      <c r="AJ48" s="477"/>
    </row>
    <row r="49" spans="2:36" ht="15" outlineLevel="1">
      <c r="B49" s="414">
        <v>43</v>
      </c>
      <c r="C49" s="442"/>
      <c r="D49" s="404"/>
      <c r="E49" s="405"/>
      <c r="F49" s="407"/>
      <c r="G49" s="499"/>
      <c r="H49" s="500"/>
      <c r="I49" s="492"/>
      <c r="J49" s="442"/>
      <c r="K49" s="404"/>
      <c r="L49" s="405"/>
      <c r="M49" s="407"/>
      <c r="N49" s="369"/>
      <c r="O49" s="369"/>
      <c r="P49" s="259"/>
      <c r="Q49" s="259"/>
      <c r="R49" s="442"/>
      <c r="S49" s="404"/>
      <c r="T49" s="405"/>
      <c r="U49" s="406"/>
      <c r="V49" s="407"/>
      <c r="W49" s="407"/>
      <c r="X49" s="435"/>
      <c r="Y49" s="436"/>
      <c r="AA49" s="477"/>
      <c r="AB49" s="477"/>
      <c r="AC49" s="477"/>
      <c r="AD49" s="477"/>
      <c r="AE49" s="477"/>
      <c r="AF49" s="477"/>
      <c r="AG49" s="477"/>
      <c r="AH49" s="477"/>
      <c r="AI49" s="477"/>
      <c r="AJ49" s="477"/>
    </row>
    <row r="50" spans="2:36" ht="15" outlineLevel="1">
      <c r="B50" s="414">
        <v>44</v>
      </c>
      <c r="C50" s="442"/>
      <c r="D50" s="404"/>
      <c r="E50" s="405"/>
      <c r="F50" s="407"/>
      <c r="G50" s="499"/>
      <c r="H50" s="500"/>
      <c r="I50" s="492"/>
      <c r="J50" s="442"/>
      <c r="K50" s="404"/>
      <c r="L50" s="405"/>
      <c r="M50" s="407"/>
      <c r="N50" s="369"/>
      <c r="O50" s="369"/>
      <c r="P50" s="259"/>
      <c r="Q50" s="259"/>
      <c r="R50" s="442"/>
      <c r="S50" s="404"/>
      <c r="T50" s="405"/>
      <c r="U50" s="406"/>
      <c r="V50" s="407"/>
      <c r="W50" s="407"/>
      <c r="X50" s="435"/>
      <c r="Y50" s="436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</row>
    <row r="51" spans="2:36" ht="15" outlineLevel="1">
      <c r="B51" s="414">
        <v>45</v>
      </c>
      <c r="C51" s="442"/>
      <c r="D51" s="404"/>
      <c r="E51" s="405"/>
      <c r="F51" s="407"/>
      <c r="G51" s="499"/>
      <c r="H51" s="500"/>
      <c r="I51" s="492"/>
      <c r="J51" s="442"/>
      <c r="K51" s="404"/>
      <c r="L51" s="405"/>
      <c r="M51" s="407"/>
      <c r="N51" s="369"/>
      <c r="O51" s="369"/>
      <c r="P51" s="259"/>
      <c r="Q51" s="259"/>
      <c r="R51" s="442"/>
      <c r="S51" s="404"/>
      <c r="T51" s="405"/>
      <c r="U51" s="406"/>
      <c r="V51" s="407"/>
      <c r="W51" s="407"/>
      <c r="X51" s="435"/>
      <c r="Y51" s="436"/>
      <c r="AA51" s="477"/>
      <c r="AB51" s="477"/>
      <c r="AC51" s="477"/>
      <c r="AD51" s="477"/>
      <c r="AE51" s="477"/>
      <c r="AF51" s="477"/>
      <c r="AG51" s="477"/>
      <c r="AH51" s="477"/>
      <c r="AI51" s="477"/>
      <c r="AJ51" s="477"/>
    </row>
    <row r="52" spans="2:36" ht="15" outlineLevel="1">
      <c r="B52" s="414">
        <v>46</v>
      </c>
      <c r="C52" s="442"/>
      <c r="D52" s="404"/>
      <c r="E52" s="405"/>
      <c r="F52" s="407"/>
      <c r="G52" s="499"/>
      <c r="H52" s="500"/>
      <c r="I52" s="492"/>
      <c r="J52" s="442"/>
      <c r="K52" s="404"/>
      <c r="L52" s="405"/>
      <c r="M52" s="407"/>
      <c r="N52" s="369"/>
      <c r="O52" s="369"/>
      <c r="P52" s="259"/>
      <c r="Q52" s="259"/>
      <c r="R52" s="442"/>
      <c r="S52" s="404"/>
      <c r="T52" s="405"/>
      <c r="U52" s="406"/>
      <c r="V52" s="407"/>
      <c r="W52" s="407"/>
      <c r="X52" s="435"/>
      <c r="Y52" s="436"/>
      <c r="AA52" s="477"/>
      <c r="AB52" s="477"/>
      <c r="AC52" s="477"/>
      <c r="AD52" s="477"/>
      <c r="AE52" s="477"/>
      <c r="AF52" s="477"/>
      <c r="AG52" s="477"/>
      <c r="AH52" s="477"/>
      <c r="AI52" s="477"/>
      <c r="AJ52" s="477"/>
    </row>
    <row r="53" spans="2:36" ht="15" outlineLevel="1">
      <c r="B53" s="414">
        <v>47</v>
      </c>
      <c r="C53" s="442"/>
      <c r="D53" s="404"/>
      <c r="E53" s="405"/>
      <c r="F53" s="407"/>
      <c r="G53" s="499"/>
      <c r="H53" s="500"/>
      <c r="I53" s="492"/>
      <c r="J53" s="442"/>
      <c r="K53" s="404"/>
      <c r="L53" s="405"/>
      <c r="M53" s="407"/>
      <c r="N53" s="369"/>
      <c r="O53" s="369"/>
      <c r="P53" s="259"/>
      <c r="Q53" s="259"/>
      <c r="R53" s="442"/>
      <c r="S53" s="404"/>
      <c r="T53" s="405"/>
      <c r="U53" s="406"/>
      <c r="V53" s="407"/>
      <c r="W53" s="407"/>
      <c r="X53" s="435"/>
      <c r="Y53" s="436"/>
      <c r="AA53" s="477"/>
      <c r="AB53" s="477"/>
      <c r="AC53" s="477"/>
      <c r="AD53" s="477"/>
      <c r="AE53" s="477"/>
      <c r="AF53" s="477"/>
      <c r="AG53" s="477"/>
      <c r="AH53" s="477"/>
      <c r="AI53" s="477"/>
      <c r="AJ53" s="477"/>
    </row>
    <row r="54" spans="2:36" ht="15" outlineLevel="1">
      <c r="B54" s="414">
        <v>48</v>
      </c>
      <c r="C54" s="442"/>
      <c r="D54" s="404"/>
      <c r="E54" s="405"/>
      <c r="F54" s="407"/>
      <c r="G54" s="499"/>
      <c r="H54" s="500"/>
      <c r="I54" s="492"/>
      <c r="J54" s="442"/>
      <c r="K54" s="404"/>
      <c r="L54" s="405"/>
      <c r="M54" s="407"/>
      <c r="N54" s="369"/>
      <c r="O54" s="369"/>
      <c r="P54" s="259"/>
      <c r="Q54" s="259"/>
      <c r="R54" s="442"/>
      <c r="S54" s="404"/>
      <c r="T54" s="405"/>
      <c r="U54" s="406"/>
      <c r="V54" s="407"/>
      <c r="W54" s="407"/>
      <c r="X54" s="435"/>
      <c r="Y54" s="436"/>
      <c r="AA54" s="477"/>
      <c r="AB54" s="477"/>
      <c r="AC54" s="477"/>
      <c r="AD54" s="477"/>
      <c r="AE54" s="477"/>
      <c r="AF54" s="477"/>
      <c r="AG54" s="477"/>
      <c r="AH54" s="477"/>
      <c r="AI54" s="477"/>
      <c r="AJ54" s="477"/>
    </row>
    <row r="55" spans="2:36" ht="15" outlineLevel="1">
      <c r="B55" s="414">
        <v>49</v>
      </c>
      <c r="C55" s="442"/>
      <c r="D55" s="404"/>
      <c r="E55" s="405"/>
      <c r="F55" s="407"/>
      <c r="G55" s="499"/>
      <c r="H55" s="500"/>
      <c r="I55" s="492"/>
      <c r="J55" s="442"/>
      <c r="K55" s="404"/>
      <c r="L55" s="405"/>
      <c r="M55" s="407"/>
      <c r="N55" s="369"/>
      <c r="O55" s="369"/>
      <c r="P55" s="259"/>
      <c r="Q55" s="259"/>
      <c r="R55" s="442"/>
      <c r="S55" s="404"/>
      <c r="T55" s="405"/>
      <c r="U55" s="406"/>
      <c r="V55" s="407"/>
      <c r="W55" s="407"/>
      <c r="X55" s="435"/>
      <c r="Y55" s="436"/>
      <c r="AA55" s="477"/>
      <c r="AB55" s="477"/>
      <c r="AC55" s="477"/>
      <c r="AD55" s="477"/>
      <c r="AE55" s="477"/>
      <c r="AF55" s="477"/>
      <c r="AG55" s="477"/>
      <c r="AH55" s="477"/>
      <c r="AI55" s="477"/>
      <c r="AJ55" s="477"/>
    </row>
    <row r="56" spans="2:36" ht="15" outlineLevel="1">
      <c r="B56" s="414">
        <v>50</v>
      </c>
      <c r="C56" s="442"/>
      <c r="D56" s="404"/>
      <c r="E56" s="405"/>
      <c r="F56" s="407"/>
      <c r="G56" s="499"/>
      <c r="H56" s="500"/>
      <c r="I56" s="492"/>
      <c r="J56" s="442"/>
      <c r="K56" s="404"/>
      <c r="L56" s="405"/>
      <c r="M56" s="407"/>
      <c r="N56" s="369"/>
      <c r="O56" s="369"/>
      <c r="P56" s="259"/>
      <c r="Q56" s="259"/>
      <c r="R56" s="442"/>
      <c r="S56" s="404"/>
      <c r="T56" s="405"/>
      <c r="U56" s="406"/>
      <c r="V56" s="407"/>
      <c r="W56" s="407"/>
      <c r="X56" s="435"/>
      <c r="Y56" s="436"/>
      <c r="AA56" s="477"/>
      <c r="AB56" s="477"/>
      <c r="AC56" s="477"/>
      <c r="AD56" s="477"/>
      <c r="AE56" s="477"/>
      <c r="AF56" s="477"/>
      <c r="AG56" s="477"/>
      <c r="AH56" s="477"/>
      <c r="AI56" s="477"/>
      <c r="AJ56" s="477"/>
    </row>
    <row r="57" spans="2:36" ht="15" outlineLevel="1">
      <c r="B57" s="414">
        <v>51</v>
      </c>
      <c r="C57" s="442"/>
      <c r="D57" s="404"/>
      <c r="E57" s="405"/>
      <c r="F57" s="407"/>
      <c r="G57" s="499"/>
      <c r="H57" s="500"/>
      <c r="I57" s="492"/>
      <c r="J57" s="442"/>
      <c r="K57" s="404"/>
      <c r="L57" s="405"/>
      <c r="M57" s="407"/>
      <c r="N57" s="369"/>
      <c r="O57" s="369"/>
      <c r="P57" s="259"/>
      <c r="Q57" s="259"/>
      <c r="R57" s="442"/>
      <c r="S57" s="404"/>
      <c r="T57" s="405"/>
      <c r="U57" s="406"/>
      <c r="V57" s="407"/>
      <c r="W57" s="407"/>
      <c r="X57" s="435"/>
      <c r="Y57" s="436"/>
      <c r="AA57" s="477"/>
      <c r="AB57" s="477"/>
      <c r="AC57" s="477"/>
      <c r="AD57" s="477"/>
      <c r="AE57" s="477"/>
      <c r="AF57" s="477"/>
      <c r="AG57" s="477"/>
      <c r="AH57" s="477"/>
      <c r="AI57" s="477"/>
      <c r="AJ57" s="477"/>
    </row>
    <row r="58" spans="2:36" ht="15" outlineLevel="1">
      <c r="B58" s="414">
        <v>52</v>
      </c>
      <c r="C58" s="442"/>
      <c r="D58" s="404"/>
      <c r="E58" s="405"/>
      <c r="F58" s="407"/>
      <c r="G58" s="499"/>
      <c r="H58" s="500"/>
      <c r="I58" s="492"/>
      <c r="J58" s="442"/>
      <c r="K58" s="404"/>
      <c r="L58" s="405"/>
      <c r="M58" s="407"/>
      <c r="N58" s="369"/>
      <c r="O58" s="369"/>
      <c r="P58" s="259"/>
      <c r="Q58" s="259"/>
      <c r="R58" s="442"/>
      <c r="S58" s="404"/>
      <c r="T58" s="405"/>
      <c r="U58" s="406"/>
      <c r="V58" s="407"/>
      <c r="W58" s="407"/>
      <c r="X58" s="435"/>
      <c r="Y58" s="436"/>
      <c r="AA58" s="477"/>
      <c r="AB58" s="477"/>
      <c r="AC58" s="477"/>
      <c r="AD58" s="477"/>
      <c r="AE58" s="477"/>
      <c r="AF58" s="477"/>
      <c r="AG58" s="477"/>
      <c r="AH58" s="477"/>
      <c r="AI58" s="477"/>
      <c r="AJ58" s="477"/>
    </row>
    <row r="59" spans="2:36" ht="15" outlineLevel="1">
      <c r="B59" s="414">
        <v>53</v>
      </c>
      <c r="C59" s="442"/>
      <c r="D59" s="404"/>
      <c r="E59" s="405"/>
      <c r="F59" s="407"/>
      <c r="G59" s="499"/>
      <c r="H59" s="500"/>
      <c r="I59" s="492"/>
      <c r="J59" s="442"/>
      <c r="K59" s="404"/>
      <c r="L59" s="405"/>
      <c r="M59" s="407"/>
      <c r="N59" s="369"/>
      <c r="O59" s="369"/>
      <c r="P59" s="259"/>
      <c r="Q59" s="259"/>
      <c r="R59" s="442"/>
      <c r="S59" s="404"/>
      <c r="T59" s="405"/>
      <c r="U59" s="406"/>
      <c r="V59" s="407"/>
      <c r="W59" s="407"/>
      <c r="X59" s="435"/>
      <c r="Y59" s="436"/>
      <c r="AA59" s="477"/>
      <c r="AB59" s="477"/>
      <c r="AC59" s="477"/>
      <c r="AD59" s="477"/>
      <c r="AE59" s="477"/>
      <c r="AF59" s="477"/>
      <c r="AG59" s="477"/>
      <c r="AH59" s="477"/>
      <c r="AI59" s="477"/>
      <c r="AJ59" s="477"/>
    </row>
    <row r="60" spans="2:36" ht="15" outlineLevel="1">
      <c r="B60" s="414">
        <v>54</v>
      </c>
      <c r="C60" s="442"/>
      <c r="D60" s="404"/>
      <c r="E60" s="405"/>
      <c r="F60" s="407"/>
      <c r="G60" s="499"/>
      <c r="H60" s="500"/>
      <c r="I60" s="492"/>
      <c r="J60" s="442"/>
      <c r="K60" s="404"/>
      <c r="L60" s="405"/>
      <c r="M60" s="407"/>
      <c r="N60" s="369"/>
      <c r="O60" s="369"/>
      <c r="P60" s="259"/>
      <c r="Q60" s="259"/>
      <c r="R60" s="442"/>
      <c r="S60" s="404"/>
      <c r="T60" s="405"/>
      <c r="U60" s="406"/>
      <c r="V60" s="407"/>
      <c r="W60" s="407"/>
      <c r="X60" s="435"/>
      <c r="Y60" s="436"/>
      <c r="AA60" s="477"/>
      <c r="AB60" s="477"/>
      <c r="AC60" s="477"/>
      <c r="AD60" s="477"/>
      <c r="AE60" s="477"/>
      <c r="AF60" s="477"/>
      <c r="AG60" s="477"/>
      <c r="AH60" s="477"/>
      <c r="AI60" s="477"/>
      <c r="AJ60" s="477"/>
    </row>
    <row r="61" spans="2:36" ht="15" outlineLevel="1">
      <c r="B61" s="414">
        <v>55</v>
      </c>
      <c r="C61" s="442"/>
      <c r="D61" s="404"/>
      <c r="E61" s="405"/>
      <c r="F61" s="407"/>
      <c r="G61" s="499"/>
      <c r="H61" s="500"/>
      <c r="I61" s="492"/>
      <c r="J61" s="442"/>
      <c r="K61" s="404"/>
      <c r="L61" s="405"/>
      <c r="M61" s="407"/>
      <c r="N61" s="369"/>
      <c r="O61" s="369"/>
      <c r="P61" s="259"/>
      <c r="Q61" s="259"/>
      <c r="R61" s="442"/>
      <c r="S61" s="404"/>
      <c r="T61" s="405"/>
      <c r="U61" s="406"/>
      <c r="V61" s="407"/>
      <c r="W61" s="407"/>
      <c r="X61" s="435"/>
      <c r="Y61" s="436"/>
      <c r="AA61" s="477"/>
      <c r="AB61" s="477"/>
      <c r="AC61" s="477"/>
      <c r="AD61" s="477"/>
      <c r="AE61" s="477"/>
      <c r="AF61" s="477"/>
      <c r="AG61" s="477"/>
      <c r="AH61" s="477"/>
      <c r="AI61" s="477"/>
      <c r="AJ61" s="477"/>
    </row>
    <row r="62" spans="2:36" ht="15" outlineLevel="1">
      <c r="B62" s="414">
        <v>56</v>
      </c>
      <c r="C62" s="442"/>
      <c r="D62" s="404"/>
      <c r="E62" s="405"/>
      <c r="F62" s="407"/>
      <c r="G62" s="499"/>
      <c r="H62" s="500"/>
      <c r="I62" s="492"/>
      <c r="J62" s="442"/>
      <c r="K62" s="404"/>
      <c r="L62" s="405"/>
      <c r="M62" s="407"/>
      <c r="N62" s="369"/>
      <c r="O62" s="369"/>
      <c r="P62" s="259"/>
      <c r="Q62" s="259"/>
      <c r="R62" s="442"/>
      <c r="S62" s="404"/>
      <c r="T62" s="405"/>
      <c r="U62" s="406"/>
      <c r="V62" s="407"/>
      <c r="W62" s="407"/>
      <c r="X62" s="435"/>
      <c r="Y62" s="436"/>
      <c r="AA62" s="477"/>
      <c r="AB62" s="477"/>
      <c r="AC62" s="477"/>
      <c r="AD62" s="477"/>
      <c r="AE62" s="477"/>
      <c r="AF62" s="477"/>
      <c r="AG62" s="477"/>
      <c r="AH62" s="477"/>
      <c r="AI62" s="477"/>
      <c r="AJ62" s="477"/>
    </row>
    <row r="63" spans="2:36" ht="15" outlineLevel="1">
      <c r="B63" s="414">
        <v>57</v>
      </c>
      <c r="C63" s="442"/>
      <c r="D63" s="404"/>
      <c r="E63" s="405"/>
      <c r="F63" s="407"/>
      <c r="G63" s="499"/>
      <c r="H63" s="500"/>
      <c r="I63" s="492"/>
      <c r="J63" s="442"/>
      <c r="K63" s="404"/>
      <c r="L63" s="405"/>
      <c r="M63" s="407"/>
      <c r="N63" s="369"/>
      <c r="O63" s="369"/>
      <c r="P63" s="259"/>
      <c r="Q63" s="259"/>
      <c r="R63" s="442"/>
      <c r="S63" s="404"/>
      <c r="T63" s="405"/>
      <c r="U63" s="406"/>
      <c r="V63" s="407"/>
      <c r="W63" s="407"/>
      <c r="X63" s="435"/>
      <c r="Y63" s="436"/>
      <c r="AA63" s="477"/>
      <c r="AB63" s="477"/>
      <c r="AC63" s="477"/>
      <c r="AD63" s="477"/>
      <c r="AE63" s="477"/>
      <c r="AF63" s="477"/>
      <c r="AG63" s="477"/>
      <c r="AH63" s="477"/>
      <c r="AI63" s="477"/>
      <c r="AJ63" s="477"/>
    </row>
    <row r="64" spans="2:36" ht="15" outlineLevel="1">
      <c r="B64" s="414">
        <v>58</v>
      </c>
      <c r="C64" s="442"/>
      <c r="D64" s="404"/>
      <c r="E64" s="405"/>
      <c r="F64" s="407"/>
      <c r="G64" s="499"/>
      <c r="H64" s="500"/>
      <c r="I64" s="492"/>
      <c r="J64" s="442"/>
      <c r="K64" s="404"/>
      <c r="L64" s="405"/>
      <c r="M64" s="407"/>
      <c r="N64" s="369"/>
      <c r="O64" s="369"/>
      <c r="P64" s="259"/>
      <c r="Q64" s="259"/>
      <c r="R64" s="442"/>
      <c r="S64" s="404"/>
      <c r="T64" s="405"/>
      <c r="U64" s="406"/>
      <c r="V64" s="407"/>
      <c r="W64" s="407"/>
      <c r="X64" s="435"/>
      <c r="Y64" s="436"/>
      <c r="AA64" s="477"/>
      <c r="AB64" s="477"/>
      <c r="AC64" s="477"/>
      <c r="AD64" s="477"/>
      <c r="AE64" s="477"/>
      <c r="AF64" s="477"/>
      <c r="AG64" s="477"/>
      <c r="AH64" s="477"/>
      <c r="AI64" s="477"/>
      <c r="AJ64" s="477"/>
    </row>
    <row r="65" spans="2:36" ht="15" outlineLevel="1">
      <c r="B65" s="414">
        <v>59</v>
      </c>
      <c r="C65" s="442"/>
      <c r="D65" s="404"/>
      <c r="E65" s="405"/>
      <c r="F65" s="407"/>
      <c r="G65" s="499"/>
      <c r="H65" s="500"/>
      <c r="I65" s="492"/>
      <c r="J65" s="442"/>
      <c r="K65" s="404"/>
      <c r="L65" s="405"/>
      <c r="M65" s="407"/>
      <c r="N65" s="369"/>
      <c r="O65" s="369"/>
      <c r="P65" s="259"/>
      <c r="Q65" s="259"/>
      <c r="R65" s="442"/>
      <c r="S65" s="404"/>
      <c r="T65" s="405"/>
      <c r="U65" s="406"/>
      <c r="V65" s="407"/>
      <c r="W65" s="407"/>
      <c r="X65" s="435"/>
      <c r="Y65" s="436"/>
      <c r="AA65" s="477"/>
      <c r="AB65" s="477"/>
      <c r="AC65" s="477"/>
      <c r="AD65" s="477"/>
      <c r="AE65" s="477"/>
      <c r="AF65" s="477"/>
      <c r="AG65" s="477"/>
      <c r="AH65" s="477"/>
      <c r="AI65" s="477"/>
      <c r="AJ65" s="477"/>
    </row>
    <row r="66" spans="2:36" ht="15" outlineLevel="1">
      <c r="B66" s="414">
        <v>60</v>
      </c>
      <c r="C66" s="442"/>
      <c r="D66" s="404"/>
      <c r="E66" s="405"/>
      <c r="F66" s="407"/>
      <c r="G66" s="499"/>
      <c r="H66" s="500"/>
      <c r="I66" s="492"/>
      <c r="J66" s="442"/>
      <c r="K66" s="404"/>
      <c r="L66" s="405"/>
      <c r="M66" s="407"/>
      <c r="N66" s="369"/>
      <c r="O66" s="369"/>
      <c r="P66" s="259"/>
      <c r="Q66" s="259"/>
      <c r="R66" s="442"/>
      <c r="S66" s="404"/>
      <c r="T66" s="405"/>
      <c r="U66" s="406"/>
      <c r="V66" s="407"/>
      <c r="W66" s="407"/>
      <c r="X66" s="435"/>
      <c r="Y66" s="436"/>
      <c r="AA66" s="477"/>
      <c r="AB66" s="477"/>
      <c r="AC66" s="477"/>
      <c r="AD66" s="477"/>
      <c r="AE66" s="477"/>
      <c r="AF66" s="477"/>
      <c r="AG66" s="477"/>
      <c r="AH66" s="477"/>
      <c r="AI66" s="477"/>
      <c r="AJ66" s="477"/>
    </row>
    <row r="67" spans="2:36" ht="15" outlineLevel="1">
      <c r="B67" s="414">
        <v>61</v>
      </c>
      <c r="C67" s="442"/>
      <c r="D67" s="404"/>
      <c r="E67" s="405"/>
      <c r="F67" s="407"/>
      <c r="G67" s="499"/>
      <c r="H67" s="500"/>
      <c r="I67" s="492"/>
      <c r="J67" s="442"/>
      <c r="K67" s="404"/>
      <c r="L67" s="405"/>
      <c r="M67" s="407"/>
      <c r="N67" s="369"/>
      <c r="O67" s="369"/>
      <c r="P67" s="259"/>
      <c r="Q67" s="259"/>
      <c r="R67" s="442"/>
      <c r="S67" s="404"/>
      <c r="T67" s="405"/>
      <c r="U67" s="406"/>
      <c r="V67" s="407"/>
      <c r="W67" s="407"/>
      <c r="X67" s="435"/>
      <c r="Y67" s="436"/>
      <c r="AA67" s="477"/>
      <c r="AB67" s="477"/>
      <c r="AC67" s="477"/>
      <c r="AD67" s="477"/>
      <c r="AE67" s="477"/>
      <c r="AF67" s="477"/>
      <c r="AG67" s="477"/>
      <c r="AH67" s="477"/>
      <c r="AI67" s="477"/>
      <c r="AJ67" s="477"/>
    </row>
    <row r="68" spans="2:36" ht="15" outlineLevel="1">
      <c r="B68" s="414">
        <v>62</v>
      </c>
      <c r="C68" s="442"/>
      <c r="D68" s="404"/>
      <c r="E68" s="405"/>
      <c r="F68" s="407"/>
      <c r="G68" s="499"/>
      <c r="H68" s="500"/>
      <c r="I68" s="492"/>
      <c r="J68" s="442"/>
      <c r="K68" s="404"/>
      <c r="L68" s="405"/>
      <c r="M68" s="407"/>
      <c r="N68" s="369"/>
      <c r="O68" s="369"/>
      <c r="P68" s="259"/>
      <c r="Q68" s="259"/>
      <c r="R68" s="442"/>
      <c r="S68" s="404"/>
      <c r="T68" s="405"/>
      <c r="U68" s="406"/>
      <c r="V68" s="407"/>
      <c r="W68" s="407"/>
      <c r="X68" s="435"/>
      <c r="Y68" s="436"/>
      <c r="AA68" s="477"/>
      <c r="AB68" s="477"/>
      <c r="AC68" s="477"/>
      <c r="AD68" s="477"/>
      <c r="AE68" s="477"/>
      <c r="AF68" s="477"/>
      <c r="AG68" s="477"/>
      <c r="AH68" s="477"/>
      <c r="AI68" s="477"/>
      <c r="AJ68" s="477"/>
    </row>
    <row r="69" spans="2:36" ht="15" outlineLevel="1">
      <c r="B69" s="414">
        <v>63</v>
      </c>
      <c r="C69" s="442"/>
      <c r="D69" s="404"/>
      <c r="E69" s="405"/>
      <c r="F69" s="407"/>
      <c r="G69" s="499"/>
      <c r="H69" s="500"/>
      <c r="I69" s="492"/>
      <c r="J69" s="442"/>
      <c r="K69" s="404"/>
      <c r="L69" s="405"/>
      <c r="M69" s="407"/>
      <c r="N69" s="369"/>
      <c r="O69" s="369"/>
      <c r="P69" s="259"/>
      <c r="Q69" s="259"/>
      <c r="R69" s="442"/>
      <c r="S69" s="404"/>
      <c r="T69" s="405"/>
      <c r="U69" s="406"/>
      <c r="V69" s="407"/>
      <c r="W69" s="407"/>
      <c r="X69" s="435"/>
      <c r="Y69" s="436"/>
      <c r="AA69" s="477"/>
      <c r="AB69" s="477"/>
      <c r="AC69" s="477"/>
      <c r="AD69" s="477"/>
      <c r="AE69" s="477"/>
      <c r="AF69" s="477"/>
      <c r="AG69" s="477"/>
      <c r="AH69" s="477"/>
      <c r="AI69" s="477"/>
      <c r="AJ69" s="477"/>
    </row>
    <row r="70" spans="2:36" ht="15" outlineLevel="1">
      <c r="B70" s="414">
        <v>64</v>
      </c>
      <c r="C70" s="442"/>
      <c r="D70" s="404"/>
      <c r="E70" s="405"/>
      <c r="F70" s="407"/>
      <c r="G70" s="499"/>
      <c r="H70" s="500"/>
      <c r="I70" s="492"/>
      <c r="J70" s="442"/>
      <c r="K70" s="404"/>
      <c r="L70" s="405"/>
      <c r="M70" s="407"/>
      <c r="N70" s="369"/>
      <c r="O70" s="369"/>
      <c r="P70" s="259"/>
      <c r="Q70" s="259"/>
      <c r="R70" s="442"/>
      <c r="S70" s="404"/>
      <c r="T70" s="405"/>
      <c r="U70" s="406"/>
      <c r="V70" s="407"/>
      <c r="W70" s="407"/>
      <c r="X70" s="435"/>
      <c r="Y70" s="436"/>
      <c r="AA70" s="477"/>
      <c r="AB70" s="477"/>
      <c r="AC70" s="477"/>
      <c r="AD70" s="477"/>
      <c r="AE70" s="477"/>
      <c r="AF70" s="477"/>
      <c r="AG70" s="477"/>
      <c r="AH70" s="477"/>
      <c r="AI70" s="477"/>
      <c r="AJ70" s="477"/>
    </row>
    <row r="71" spans="2:36" ht="15" outlineLevel="1">
      <c r="B71" s="414">
        <v>65</v>
      </c>
      <c r="C71" s="442"/>
      <c r="D71" s="404"/>
      <c r="E71" s="405"/>
      <c r="F71" s="407"/>
      <c r="G71" s="499"/>
      <c r="H71" s="500"/>
      <c r="I71" s="492"/>
      <c r="J71" s="442"/>
      <c r="K71" s="404"/>
      <c r="L71" s="405"/>
      <c r="M71" s="407"/>
      <c r="N71" s="369"/>
      <c r="O71" s="369"/>
      <c r="P71" s="259"/>
      <c r="Q71" s="259"/>
      <c r="R71" s="442"/>
      <c r="S71" s="404"/>
      <c r="T71" s="405"/>
      <c r="U71" s="406"/>
      <c r="V71" s="407"/>
      <c r="W71" s="407"/>
      <c r="X71" s="435"/>
      <c r="Y71" s="436"/>
      <c r="AA71" s="477"/>
      <c r="AB71" s="477"/>
      <c r="AC71" s="477"/>
      <c r="AD71" s="477"/>
      <c r="AE71" s="477"/>
      <c r="AF71" s="477"/>
      <c r="AG71" s="477"/>
      <c r="AH71" s="477"/>
      <c r="AI71" s="477"/>
      <c r="AJ71" s="477"/>
    </row>
    <row r="72" spans="2:36" ht="15" outlineLevel="1">
      <c r="B72" s="414">
        <v>66</v>
      </c>
      <c r="C72" s="442"/>
      <c r="D72" s="404"/>
      <c r="E72" s="405"/>
      <c r="F72" s="407"/>
      <c r="G72" s="499"/>
      <c r="H72" s="500"/>
      <c r="I72" s="492"/>
      <c r="J72" s="442"/>
      <c r="K72" s="404"/>
      <c r="L72" s="405"/>
      <c r="M72" s="407"/>
      <c r="N72" s="369"/>
      <c r="O72" s="369"/>
      <c r="P72" s="259"/>
      <c r="Q72" s="259"/>
      <c r="R72" s="442"/>
      <c r="S72" s="404"/>
      <c r="T72" s="405"/>
      <c r="U72" s="406"/>
      <c r="V72" s="407"/>
      <c r="W72" s="407"/>
      <c r="X72" s="435"/>
      <c r="Y72" s="436"/>
      <c r="AA72" s="477"/>
      <c r="AB72" s="477"/>
      <c r="AC72" s="477"/>
      <c r="AD72" s="477"/>
      <c r="AE72" s="477"/>
      <c r="AF72" s="477"/>
      <c r="AG72" s="477"/>
      <c r="AH72" s="477"/>
      <c r="AI72" s="477"/>
      <c r="AJ72" s="477"/>
    </row>
    <row r="73" spans="2:36" ht="15" outlineLevel="1">
      <c r="B73" s="414">
        <v>67</v>
      </c>
      <c r="C73" s="442"/>
      <c r="D73" s="404"/>
      <c r="E73" s="405"/>
      <c r="F73" s="407"/>
      <c r="G73" s="499"/>
      <c r="H73" s="500"/>
      <c r="I73" s="492"/>
      <c r="J73" s="442"/>
      <c r="K73" s="404"/>
      <c r="L73" s="405"/>
      <c r="M73" s="407"/>
      <c r="N73" s="369"/>
      <c r="O73" s="369"/>
      <c r="P73" s="259"/>
      <c r="Q73" s="259"/>
      <c r="R73" s="442"/>
      <c r="S73" s="404"/>
      <c r="T73" s="405"/>
      <c r="U73" s="406"/>
      <c r="V73" s="407"/>
      <c r="W73" s="407"/>
      <c r="X73" s="435"/>
      <c r="Y73" s="436"/>
      <c r="AA73" s="477"/>
      <c r="AB73" s="477"/>
      <c r="AC73" s="477"/>
      <c r="AD73" s="477"/>
      <c r="AE73" s="477"/>
      <c r="AF73" s="477"/>
      <c r="AG73" s="477"/>
      <c r="AH73" s="477"/>
      <c r="AI73" s="477"/>
      <c r="AJ73" s="477"/>
    </row>
    <row r="74" spans="2:36" ht="15" outlineLevel="1">
      <c r="B74" s="414">
        <v>68</v>
      </c>
      <c r="C74" s="442"/>
      <c r="D74" s="404"/>
      <c r="E74" s="405"/>
      <c r="F74" s="407"/>
      <c r="G74" s="499"/>
      <c r="H74" s="500"/>
      <c r="I74" s="492"/>
      <c r="J74" s="442"/>
      <c r="K74" s="404"/>
      <c r="L74" s="405"/>
      <c r="M74" s="407"/>
      <c r="N74" s="369"/>
      <c r="O74" s="369"/>
      <c r="P74" s="259"/>
      <c r="Q74" s="259"/>
      <c r="R74" s="442"/>
      <c r="S74" s="404"/>
      <c r="T74" s="405"/>
      <c r="U74" s="406"/>
      <c r="V74" s="407"/>
      <c r="W74" s="407"/>
      <c r="X74" s="435"/>
      <c r="Y74" s="436"/>
      <c r="AA74" s="477"/>
      <c r="AB74" s="477"/>
      <c r="AC74" s="477"/>
      <c r="AD74" s="477"/>
      <c r="AE74" s="477"/>
      <c r="AF74" s="477"/>
      <c r="AG74" s="477"/>
      <c r="AH74" s="477"/>
      <c r="AI74" s="477"/>
      <c r="AJ74" s="477"/>
    </row>
    <row r="75" spans="2:36" ht="15" outlineLevel="1">
      <c r="B75" s="414">
        <v>69</v>
      </c>
      <c r="C75" s="442"/>
      <c r="D75" s="404"/>
      <c r="E75" s="405"/>
      <c r="F75" s="407"/>
      <c r="G75" s="499"/>
      <c r="H75" s="500"/>
      <c r="I75" s="492"/>
      <c r="J75" s="442"/>
      <c r="K75" s="404"/>
      <c r="L75" s="405"/>
      <c r="M75" s="407"/>
      <c r="N75" s="369"/>
      <c r="O75" s="369"/>
      <c r="P75" s="259"/>
      <c r="Q75" s="259"/>
      <c r="R75" s="442"/>
      <c r="S75" s="404"/>
      <c r="T75" s="405"/>
      <c r="U75" s="406"/>
      <c r="V75" s="407"/>
      <c r="W75" s="407"/>
      <c r="X75" s="435"/>
      <c r="Y75" s="436"/>
      <c r="AA75" s="477"/>
      <c r="AB75" s="477"/>
      <c r="AC75" s="477"/>
      <c r="AD75" s="477"/>
      <c r="AE75" s="477"/>
      <c r="AF75" s="477"/>
      <c r="AG75" s="477"/>
      <c r="AH75" s="477"/>
      <c r="AI75" s="477"/>
      <c r="AJ75" s="477"/>
    </row>
    <row r="76" spans="2:36" ht="15" outlineLevel="1">
      <c r="B76" s="414">
        <v>70</v>
      </c>
      <c r="C76" s="442"/>
      <c r="D76" s="404"/>
      <c r="E76" s="405"/>
      <c r="F76" s="407"/>
      <c r="G76" s="499"/>
      <c r="H76" s="500"/>
      <c r="I76" s="492"/>
      <c r="J76" s="442"/>
      <c r="K76" s="404"/>
      <c r="L76" s="405"/>
      <c r="M76" s="407"/>
      <c r="N76" s="369"/>
      <c r="O76" s="369"/>
      <c r="P76" s="259"/>
      <c r="Q76" s="259"/>
      <c r="R76" s="442"/>
      <c r="S76" s="404"/>
      <c r="T76" s="405"/>
      <c r="U76" s="406"/>
      <c r="V76" s="407"/>
      <c r="W76" s="407"/>
      <c r="X76" s="435"/>
      <c r="Y76" s="436"/>
      <c r="AA76" s="477"/>
      <c r="AB76" s="477"/>
      <c r="AC76" s="477"/>
      <c r="AD76" s="477"/>
      <c r="AE76" s="477"/>
      <c r="AF76" s="477"/>
      <c r="AG76" s="477"/>
      <c r="AH76" s="477"/>
      <c r="AI76" s="477"/>
      <c r="AJ76" s="477"/>
    </row>
    <row r="77" spans="2:36" ht="15" outlineLevel="1">
      <c r="B77" s="414">
        <v>71</v>
      </c>
      <c r="C77" s="442"/>
      <c r="D77" s="404"/>
      <c r="E77" s="405"/>
      <c r="F77" s="407"/>
      <c r="G77" s="499"/>
      <c r="H77" s="500"/>
      <c r="I77" s="492"/>
      <c r="J77" s="442"/>
      <c r="K77" s="404"/>
      <c r="L77" s="405"/>
      <c r="M77" s="407"/>
      <c r="N77" s="369"/>
      <c r="O77" s="369"/>
      <c r="P77" s="259"/>
      <c r="Q77" s="259"/>
      <c r="R77" s="442"/>
      <c r="S77" s="404"/>
      <c r="T77" s="405"/>
      <c r="U77" s="406"/>
      <c r="V77" s="407"/>
      <c r="W77" s="407"/>
      <c r="X77" s="435"/>
      <c r="Y77" s="436"/>
      <c r="AA77" s="477"/>
      <c r="AB77" s="477"/>
      <c r="AC77" s="477"/>
      <c r="AD77" s="477"/>
      <c r="AE77" s="477"/>
      <c r="AF77" s="477"/>
      <c r="AG77" s="477"/>
      <c r="AH77" s="477"/>
      <c r="AI77" s="477"/>
      <c r="AJ77" s="477"/>
    </row>
    <row r="78" spans="2:36" ht="15" outlineLevel="1">
      <c r="B78" s="414">
        <v>72</v>
      </c>
      <c r="C78" s="442"/>
      <c r="D78" s="404"/>
      <c r="E78" s="405"/>
      <c r="F78" s="407"/>
      <c r="G78" s="499"/>
      <c r="H78" s="500"/>
      <c r="I78" s="492"/>
      <c r="J78" s="442"/>
      <c r="K78" s="404"/>
      <c r="L78" s="405"/>
      <c r="M78" s="407"/>
      <c r="N78" s="369"/>
      <c r="O78" s="369"/>
      <c r="P78" s="259"/>
      <c r="Q78" s="259"/>
      <c r="R78" s="442"/>
      <c r="S78" s="404"/>
      <c r="T78" s="405"/>
      <c r="U78" s="406"/>
      <c r="V78" s="407"/>
      <c r="W78" s="407"/>
      <c r="X78" s="435"/>
      <c r="Y78" s="436"/>
      <c r="AA78" s="477"/>
      <c r="AB78" s="477"/>
      <c r="AC78" s="477"/>
      <c r="AD78" s="477"/>
      <c r="AE78" s="477"/>
      <c r="AF78" s="477"/>
      <c r="AG78" s="477"/>
      <c r="AH78" s="477"/>
      <c r="AI78" s="477"/>
      <c r="AJ78" s="477"/>
    </row>
    <row r="79" spans="2:36" ht="15" outlineLevel="1">
      <c r="B79" s="414">
        <v>73</v>
      </c>
      <c r="C79" s="442"/>
      <c r="D79" s="404"/>
      <c r="E79" s="405"/>
      <c r="F79" s="407"/>
      <c r="G79" s="499"/>
      <c r="H79" s="500"/>
      <c r="I79" s="492"/>
      <c r="J79" s="442"/>
      <c r="K79" s="404"/>
      <c r="L79" s="405"/>
      <c r="M79" s="407"/>
      <c r="N79" s="369"/>
      <c r="O79" s="369"/>
      <c r="P79" s="259"/>
      <c r="Q79" s="259"/>
      <c r="R79" s="442"/>
      <c r="S79" s="404"/>
      <c r="T79" s="405"/>
      <c r="U79" s="406"/>
      <c r="V79" s="407"/>
      <c r="W79" s="407"/>
      <c r="X79" s="435"/>
      <c r="Y79" s="436"/>
      <c r="AA79" s="477"/>
      <c r="AB79" s="477"/>
      <c r="AC79" s="477"/>
      <c r="AD79" s="477"/>
      <c r="AE79" s="477"/>
      <c r="AF79" s="477"/>
      <c r="AG79" s="477"/>
      <c r="AH79" s="477"/>
      <c r="AI79" s="477"/>
      <c r="AJ79" s="477"/>
    </row>
    <row r="80" spans="2:36" ht="15" outlineLevel="1">
      <c r="B80" s="414">
        <v>74</v>
      </c>
      <c r="C80" s="442"/>
      <c r="D80" s="404"/>
      <c r="E80" s="405"/>
      <c r="F80" s="407"/>
      <c r="G80" s="499"/>
      <c r="H80" s="500"/>
      <c r="I80" s="492"/>
      <c r="J80" s="442"/>
      <c r="K80" s="404"/>
      <c r="L80" s="405"/>
      <c r="M80" s="407"/>
      <c r="N80" s="369"/>
      <c r="O80" s="369"/>
      <c r="P80" s="259"/>
      <c r="Q80" s="259"/>
      <c r="R80" s="442"/>
      <c r="S80" s="404"/>
      <c r="T80" s="405"/>
      <c r="U80" s="406"/>
      <c r="V80" s="407"/>
      <c r="W80" s="407"/>
      <c r="X80" s="435"/>
      <c r="Y80" s="436"/>
      <c r="AA80" s="477"/>
      <c r="AB80" s="477"/>
      <c r="AC80" s="477"/>
      <c r="AD80" s="477"/>
      <c r="AE80" s="477"/>
      <c r="AF80" s="477"/>
      <c r="AG80" s="477"/>
      <c r="AH80" s="477"/>
      <c r="AI80" s="477"/>
      <c r="AJ80" s="477"/>
    </row>
    <row r="81" spans="2:36" ht="15" outlineLevel="1">
      <c r="B81" s="414">
        <v>75</v>
      </c>
      <c r="C81" s="442"/>
      <c r="D81" s="404"/>
      <c r="E81" s="405"/>
      <c r="F81" s="407"/>
      <c r="G81" s="499"/>
      <c r="H81" s="500"/>
      <c r="I81" s="492"/>
      <c r="J81" s="442"/>
      <c r="K81" s="404"/>
      <c r="L81" s="405"/>
      <c r="M81" s="407"/>
      <c r="N81" s="369"/>
      <c r="O81" s="369"/>
      <c r="P81" s="259"/>
      <c r="Q81" s="259"/>
      <c r="R81" s="442"/>
      <c r="S81" s="404"/>
      <c r="T81" s="405"/>
      <c r="U81" s="406"/>
      <c r="V81" s="407"/>
      <c r="W81" s="407"/>
      <c r="X81" s="435"/>
      <c r="Y81" s="436"/>
      <c r="AA81" s="477"/>
      <c r="AB81" s="477"/>
      <c r="AC81" s="477"/>
      <c r="AD81" s="477"/>
      <c r="AE81" s="477"/>
      <c r="AF81" s="477"/>
      <c r="AG81" s="477"/>
      <c r="AH81" s="477"/>
      <c r="AI81" s="477"/>
      <c r="AJ81" s="477"/>
    </row>
    <row r="82" spans="2:36" ht="15" outlineLevel="1">
      <c r="B82" s="414">
        <v>76</v>
      </c>
      <c r="C82" s="442"/>
      <c r="D82" s="404"/>
      <c r="E82" s="405"/>
      <c r="F82" s="407"/>
      <c r="G82" s="499"/>
      <c r="H82" s="500"/>
      <c r="I82" s="492"/>
      <c r="J82" s="442"/>
      <c r="K82" s="404"/>
      <c r="L82" s="405"/>
      <c r="M82" s="407"/>
      <c r="N82" s="369"/>
      <c r="O82" s="369"/>
      <c r="P82" s="259"/>
      <c r="Q82" s="259"/>
      <c r="R82" s="442"/>
      <c r="S82" s="404"/>
      <c r="T82" s="405"/>
      <c r="U82" s="406"/>
      <c r="V82" s="407"/>
      <c r="W82" s="407"/>
      <c r="X82" s="435"/>
      <c r="Y82" s="436"/>
      <c r="AA82" s="477"/>
      <c r="AB82" s="477"/>
      <c r="AC82" s="477"/>
      <c r="AD82" s="477"/>
      <c r="AE82" s="477"/>
      <c r="AF82" s="477"/>
      <c r="AG82" s="477"/>
      <c r="AH82" s="477"/>
      <c r="AI82" s="477"/>
      <c r="AJ82" s="477"/>
    </row>
    <row r="83" spans="2:36" ht="15" outlineLevel="1">
      <c r="B83" s="414">
        <v>77</v>
      </c>
      <c r="C83" s="442"/>
      <c r="D83" s="404"/>
      <c r="E83" s="405"/>
      <c r="F83" s="407"/>
      <c r="G83" s="499"/>
      <c r="H83" s="500"/>
      <c r="I83" s="492"/>
      <c r="J83" s="442"/>
      <c r="K83" s="404"/>
      <c r="L83" s="405"/>
      <c r="M83" s="407"/>
      <c r="N83" s="369"/>
      <c r="O83" s="369"/>
      <c r="P83" s="259"/>
      <c r="Q83" s="259"/>
      <c r="R83" s="442"/>
      <c r="S83" s="404"/>
      <c r="T83" s="405"/>
      <c r="U83" s="406"/>
      <c r="V83" s="407"/>
      <c r="W83" s="407"/>
      <c r="X83" s="435"/>
      <c r="Y83" s="436"/>
      <c r="AA83" s="477"/>
      <c r="AB83" s="477"/>
      <c r="AC83" s="477"/>
      <c r="AD83" s="477"/>
      <c r="AE83" s="477"/>
      <c r="AF83" s="477"/>
      <c r="AG83" s="477"/>
      <c r="AH83" s="477"/>
      <c r="AI83" s="477"/>
      <c r="AJ83" s="477"/>
    </row>
    <row r="84" spans="2:36" ht="15" outlineLevel="1">
      <c r="B84" s="414">
        <v>78</v>
      </c>
      <c r="C84" s="442"/>
      <c r="D84" s="404"/>
      <c r="E84" s="405"/>
      <c r="F84" s="407"/>
      <c r="G84" s="499"/>
      <c r="H84" s="500"/>
      <c r="I84" s="492"/>
      <c r="J84" s="442"/>
      <c r="K84" s="404"/>
      <c r="L84" s="405"/>
      <c r="M84" s="407"/>
      <c r="N84" s="369"/>
      <c r="O84" s="369"/>
      <c r="P84" s="259"/>
      <c r="Q84" s="259"/>
      <c r="R84" s="442"/>
      <c r="S84" s="404"/>
      <c r="T84" s="405"/>
      <c r="U84" s="406"/>
      <c r="V84" s="407"/>
      <c r="W84" s="407"/>
      <c r="X84" s="435"/>
      <c r="Y84" s="436"/>
      <c r="AA84" s="477"/>
      <c r="AB84" s="477"/>
      <c r="AC84" s="477"/>
      <c r="AD84" s="477"/>
      <c r="AE84" s="477"/>
      <c r="AF84" s="477"/>
      <c r="AG84" s="477"/>
      <c r="AH84" s="477"/>
      <c r="AI84" s="477"/>
      <c r="AJ84" s="477"/>
    </row>
    <row r="85" spans="2:36" ht="15" outlineLevel="1">
      <c r="B85" s="414">
        <v>79</v>
      </c>
      <c r="C85" s="442"/>
      <c r="D85" s="404"/>
      <c r="E85" s="405"/>
      <c r="F85" s="407"/>
      <c r="G85" s="499"/>
      <c r="H85" s="500"/>
      <c r="I85" s="492"/>
      <c r="J85" s="442"/>
      <c r="K85" s="404"/>
      <c r="L85" s="405"/>
      <c r="M85" s="407"/>
      <c r="N85" s="369"/>
      <c r="O85" s="369"/>
      <c r="P85" s="259"/>
      <c r="Q85" s="259"/>
      <c r="R85" s="442"/>
      <c r="S85" s="404"/>
      <c r="T85" s="405"/>
      <c r="U85" s="406"/>
      <c r="V85" s="407"/>
      <c r="W85" s="407"/>
      <c r="X85" s="435"/>
      <c r="Y85" s="436"/>
      <c r="AA85" s="477"/>
      <c r="AB85" s="477"/>
      <c r="AC85" s="477"/>
      <c r="AD85" s="477"/>
      <c r="AE85" s="477"/>
      <c r="AF85" s="477"/>
      <c r="AG85" s="477"/>
      <c r="AH85" s="477"/>
      <c r="AI85" s="477"/>
      <c r="AJ85" s="477"/>
    </row>
    <row r="86" spans="2:36" ht="15" outlineLevel="1">
      <c r="B86" s="414">
        <v>80</v>
      </c>
      <c r="C86" s="442"/>
      <c r="D86" s="404"/>
      <c r="E86" s="405"/>
      <c r="F86" s="407"/>
      <c r="G86" s="499"/>
      <c r="H86" s="500"/>
      <c r="I86" s="492"/>
      <c r="J86" s="442"/>
      <c r="K86" s="404"/>
      <c r="L86" s="405"/>
      <c r="M86" s="407"/>
      <c r="N86" s="369"/>
      <c r="O86" s="369"/>
      <c r="P86" s="259"/>
      <c r="Q86" s="259"/>
      <c r="R86" s="442"/>
      <c r="S86" s="404"/>
      <c r="T86" s="405"/>
      <c r="U86" s="406"/>
      <c r="V86" s="407"/>
      <c r="W86" s="407"/>
      <c r="X86" s="435"/>
      <c r="Y86" s="436"/>
      <c r="AA86" s="477"/>
      <c r="AB86" s="477"/>
      <c r="AC86" s="477"/>
      <c r="AD86" s="477"/>
      <c r="AE86" s="477"/>
      <c r="AF86" s="477"/>
      <c r="AG86" s="477"/>
      <c r="AH86" s="477"/>
      <c r="AI86" s="477"/>
      <c r="AJ86" s="477"/>
    </row>
    <row r="87" spans="2:36" ht="15" outlineLevel="1">
      <c r="B87" s="414">
        <v>81</v>
      </c>
      <c r="C87" s="442"/>
      <c r="D87" s="404"/>
      <c r="E87" s="405"/>
      <c r="F87" s="407"/>
      <c r="G87" s="499"/>
      <c r="H87" s="500"/>
      <c r="I87" s="492"/>
      <c r="J87" s="442"/>
      <c r="K87" s="404"/>
      <c r="L87" s="405"/>
      <c r="M87" s="407"/>
      <c r="N87" s="369"/>
      <c r="O87" s="369"/>
      <c r="P87" s="259"/>
      <c r="Q87" s="259"/>
      <c r="R87" s="442"/>
      <c r="S87" s="404"/>
      <c r="T87" s="405"/>
      <c r="U87" s="406"/>
      <c r="V87" s="407"/>
      <c r="W87" s="407"/>
      <c r="X87" s="435"/>
      <c r="Y87" s="436"/>
      <c r="AA87" s="477"/>
      <c r="AB87" s="477"/>
      <c r="AC87" s="477"/>
      <c r="AD87" s="477"/>
      <c r="AE87" s="477"/>
      <c r="AF87" s="477"/>
      <c r="AG87" s="477"/>
      <c r="AH87" s="477"/>
      <c r="AI87" s="477"/>
      <c r="AJ87" s="477"/>
    </row>
    <row r="88" spans="2:36" ht="15" outlineLevel="1">
      <c r="B88" s="414">
        <v>82</v>
      </c>
      <c r="C88" s="442"/>
      <c r="D88" s="404"/>
      <c r="E88" s="405"/>
      <c r="F88" s="407"/>
      <c r="G88" s="499"/>
      <c r="H88" s="500"/>
      <c r="I88" s="492"/>
      <c r="J88" s="442"/>
      <c r="K88" s="404"/>
      <c r="L88" s="405"/>
      <c r="M88" s="407"/>
      <c r="N88" s="369"/>
      <c r="O88" s="369"/>
      <c r="P88" s="259"/>
      <c r="Q88" s="259"/>
      <c r="R88" s="442"/>
      <c r="S88" s="404"/>
      <c r="T88" s="405"/>
      <c r="U88" s="406"/>
      <c r="V88" s="407"/>
      <c r="W88" s="407"/>
      <c r="X88" s="435"/>
      <c r="Y88" s="436"/>
      <c r="AA88" s="477"/>
      <c r="AB88" s="477"/>
      <c r="AC88" s="477"/>
      <c r="AD88" s="477"/>
      <c r="AE88" s="477"/>
      <c r="AF88" s="477"/>
      <c r="AG88" s="477"/>
      <c r="AH88" s="477"/>
      <c r="AI88" s="477"/>
      <c r="AJ88" s="477"/>
    </row>
    <row r="89" spans="2:36" ht="15" outlineLevel="1">
      <c r="B89" s="414">
        <v>83</v>
      </c>
      <c r="C89" s="442"/>
      <c r="D89" s="404"/>
      <c r="E89" s="405"/>
      <c r="F89" s="407"/>
      <c r="G89" s="499"/>
      <c r="H89" s="500"/>
      <c r="I89" s="492"/>
      <c r="J89" s="442"/>
      <c r="K89" s="404"/>
      <c r="L89" s="405"/>
      <c r="M89" s="407"/>
      <c r="N89" s="369"/>
      <c r="O89" s="369"/>
      <c r="P89" s="259"/>
      <c r="Q89" s="259"/>
      <c r="R89" s="442"/>
      <c r="S89" s="404"/>
      <c r="T89" s="405"/>
      <c r="U89" s="406"/>
      <c r="V89" s="407"/>
      <c r="W89" s="407"/>
      <c r="X89" s="435"/>
      <c r="Y89" s="436"/>
      <c r="AA89" s="477"/>
      <c r="AB89" s="477"/>
      <c r="AC89" s="477"/>
      <c r="AD89" s="477"/>
      <c r="AE89" s="477"/>
      <c r="AF89" s="477"/>
      <c r="AG89" s="477"/>
      <c r="AH89" s="477"/>
      <c r="AI89" s="477"/>
      <c r="AJ89" s="477"/>
    </row>
    <row r="90" spans="2:36" ht="15" outlineLevel="1">
      <c r="B90" s="414">
        <v>84</v>
      </c>
      <c r="C90" s="442"/>
      <c r="D90" s="404"/>
      <c r="E90" s="405"/>
      <c r="F90" s="407"/>
      <c r="G90" s="499"/>
      <c r="H90" s="500"/>
      <c r="I90" s="492"/>
      <c r="J90" s="442"/>
      <c r="K90" s="404"/>
      <c r="L90" s="405"/>
      <c r="M90" s="407"/>
      <c r="N90" s="369"/>
      <c r="O90" s="369"/>
      <c r="P90" s="259"/>
      <c r="Q90" s="259"/>
      <c r="R90" s="442"/>
      <c r="S90" s="404"/>
      <c r="T90" s="405"/>
      <c r="U90" s="406"/>
      <c r="V90" s="407"/>
      <c r="W90" s="407"/>
      <c r="X90" s="435"/>
      <c r="Y90" s="436"/>
      <c r="AA90" s="477"/>
      <c r="AB90" s="477"/>
      <c r="AC90" s="477"/>
      <c r="AD90" s="477"/>
      <c r="AE90" s="477"/>
      <c r="AF90" s="477"/>
      <c r="AG90" s="477"/>
      <c r="AH90" s="477"/>
      <c r="AI90" s="477"/>
      <c r="AJ90" s="477"/>
    </row>
    <row r="91" spans="2:36" ht="15" outlineLevel="1">
      <c r="B91" s="414">
        <v>85</v>
      </c>
      <c r="C91" s="442"/>
      <c r="D91" s="404"/>
      <c r="E91" s="405"/>
      <c r="F91" s="407"/>
      <c r="G91" s="499"/>
      <c r="H91" s="500"/>
      <c r="I91" s="492"/>
      <c r="J91" s="442"/>
      <c r="K91" s="404"/>
      <c r="L91" s="405"/>
      <c r="M91" s="407"/>
      <c r="N91" s="369"/>
      <c r="O91" s="369"/>
      <c r="P91" s="259"/>
      <c r="Q91" s="259"/>
      <c r="R91" s="442"/>
      <c r="S91" s="404"/>
      <c r="T91" s="405"/>
      <c r="U91" s="406"/>
      <c r="V91" s="407"/>
      <c r="W91" s="407"/>
      <c r="X91" s="435"/>
      <c r="Y91" s="436"/>
      <c r="AA91" s="477"/>
      <c r="AB91" s="477"/>
      <c r="AC91" s="477"/>
      <c r="AD91" s="477"/>
      <c r="AE91" s="477"/>
      <c r="AF91" s="477"/>
      <c r="AG91" s="477"/>
      <c r="AH91" s="477"/>
      <c r="AI91" s="477"/>
      <c r="AJ91" s="477"/>
    </row>
    <row r="92" spans="2:36" ht="15" outlineLevel="1">
      <c r="B92" s="414">
        <v>86</v>
      </c>
      <c r="C92" s="442"/>
      <c r="D92" s="404"/>
      <c r="E92" s="405"/>
      <c r="F92" s="407"/>
      <c r="G92" s="499"/>
      <c r="H92" s="500"/>
      <c r="I92" s="492"/>
      <c r="J92" s="442"/>
      <c r="K92" s="404"/>
      <c r="L92" s="405"/>
      <c r="M92" s="407"/>
      <c r="N92" s="369"/>
      <c r="O92" s="369"/>
      <c r="P92" s="259"/>
      <c r="Q92" s="259"/>
      <c r="R92" s="442"/>
      <c r="S92" s="404"/>
      <c r="T92" s="405"/>
      <c r="U92" s="406"/>
      <c r="V92" s="407"/>
      <c r="W92" s="407"/>
      <c r="X92" s="435"/>
      <c r="Y92" s="436"/>
      <c r="AA92" s="477"/>
      <c r="AB92" s="477"/>
      <c r="AC92" s="477"/>
      <c r="AD92" s="477"/>
      <c r="AE92" s="477"/>
      <c r="AF92" s="477"/>
      <c r="AG92" s="477"/>
      <c r="AH92" s="477"/>
      <c r="AI92" s="477"/>
      <c r="AJ92" s="477"/>
    </row>
    <row r="93" spans="2:36" ht="15" outlineLevel="1">
      <c r="B93" s="414">
        <v>87</v>
      </c>
      <c r="C93" s="442"/>
      <c r="D93" s="404"/>
      <c r="E93" s="405"/>
      <c r="F93" s="407"/>
      <c r="G93" s="499"/>
      <c r="H93" s="500"/>
      <c r="I93" s="492"/>
      <c r="J93" s="442"/>
      <c r="K93" s="404"/>
      <c r="L93" s="405"/>
      <c r="M93" s="407"/>
      <c r="N93" s="369"/>
      <c r="O93" s="369"/>
      <c r="P93" s="259"/>
      <c r="Q93" s="259"/>
      <c r="R93" s="442"/>
      <c r="S93" s="404"/>
      <c r="T93" s="405"/>
      <c r="U93" s="406"/>
      <c r="V93" s="407"/>
      <c r="W93" s="407"/>
      <c r="X93" s="435"/>
      <c r="Y93" s="436"/>
      <c r="AA93" s="477"/>
      <c r="AB93" s="477"/>
      <c r="AC93" s="477"/>
      <c r="AD93" s="477"/>
      <c r="AE93" s="477"/>
      <c r="AF93" s="477"/>
      <c r="AG93" s="477"/>
      <c r="AH93" s="477"/>
      <c r="AI93" s="477"/>
      <c r="AJ93" s="477"/>
    </row>
    <row r="94" spans="2:36" ht="15" outlineLevel="1">
      <c r="B94" s="414">
        <v>88</v>
      </c>
      <c r="C94" s="442"/>
      <c r="D94" s="404"/>
      <c r="E94" s="405"/>
      <c r="F94" s="407"/>
      <c r="G94" s="499"/>
      <c r="H94" s="500"/>
      <c r="I94" s="492"/>
      <c r="J94" s="442"/>
      <c r="K94" s="404"/>
      <c r="L94" s="405"/>
      <c r="M94" s="407"/>
      <c r="N94" s="369"/>
      <c r="O94" s="369"/>
      <c r="P94" s="259"/>
      <c r="Q94" s="259"/>
      <c r="R94" s="442"/>
      <c r="S94" s="404"/>
      <c r="T94" s="405"/>
      <c r="U94" s="406"/>
      <c r="V94" s="407"/>
      <c r="W94" s="407"/>
      <c r="X94" s="435"/>
      <c r="Y94" s="436"/>
      <c r="AA94" s="477"/>
      <c r="AB94" s="477"/>
      <c r="AC94" s="477"/>
      <c r="AD94" s="477"/>
      <c r="AE94" s="477"/>
      <c r="AF94" s="477"/>
      <c r="AG94" s="477"/>
      <c r="AH94" s="477"/>
      <c r="AI94" s="477"/>
      <c r="AJ94" s="477"/>
    </row>
    <row r="95" spans="2:36" ht="15" outlineLevel="1">
      <c r="B95" s="414">
        <v>89</v>
      </c>
      <c r="C95" s="442"/>
      <c r="D95" s="404"/>
      <c r="E95" s="405"/>
      <c r="F95" s="407"/>
      <c r="G95" s="499"/>
      <c r="H95" s="500"/>
      <c r="I95" s="492"/>
      <c r="J95" s="442"/>
      <c r="K95" s="404"/>
      <c r="L95" s="405"/>
      <c r="M95" s="407"/>
      <c r="N95" s="369"/>
      <c r="O95" s="369"/>
      <c r="P95" s="259"/>
      <c r="Q95" s="259"/>
      <c r="R95" s="442"/>
      <c r="S95" s="404"/>
      <c r="T95" s="405"/>
      <c r="U95" s="406"/>
      <c r="V95" s="407"/>
      <c r="W95" s="407"/>
      <c r="X95" s="435"/>
      <c r="Y95" s="436"/>
      <c r="AA95" s="477"/>
      <c r="AB95" s="477"/>
      <c r="AC95" s="477"/>
      <c r="AD95" s="477"/>
      <c r="AE95" s="477"/>
      <c r="AF95" s="477"/>
      <c r="AG95" s="477"/>
      <c r="AH95" s="477"/>
      <c r="AI95" s="477"/>
      <c r="AJ95" s="477"/>
    </row>
    <row r="96" spans="2:36" ht="15" outlineLevel="1">
      <c r="B96" s="414">
        <v>90</v>
      </c>
      <c r="C96" s="442"/>
      <c r="D96" s="404"/>
      <c r="E96" s="405"/>
      <c r="F96" s="407"/>
      <c r="G96" s="499"/>
      <c r="H96" s="500"/>
      <c r="I96" s="492"/>
      <c r="J96" s="442"/>
      <c r="K96" s="404"/>
      <c r="L96" s="405"/>
      <c r="M96" s="407"/>
      <c r="N96" s="369"/>
      <c r="O96" s="369"/>
      <c r="P96" s="259"/>
      <c r="Q96" s="259"/>
      <c r="R96" s="442"/>
      <c r="S96" s="404"/>
      <c r="T96" s="405"/>
      <c r="U96" s="406"/>
      <c r="V96" s="407"/>
      <c r="W96" s="407"/>
      <c r="X96" s="435"/>
      <c r="Y96" s="436"/>
      <c r="AA96" s="477"/>
      <c r="AB96" s="477"/>
      <c r="AC96" s="477"/>
      <c r="AD96" s="477"/>
      <c r="AE96" s="477"/>
      <c r="AF96" s="477"/>
      <c r="AG96" s="477"/>
      <c r="AH96" s="477"/>
      <c r="AI96" s="477"/>
      <c r="AJ96" s="477"/>
    </row>
    <row r="97" spans="2:36" ht="15" outlineLevel="1">
      <c r="B97" s="414">
        <v>91</v>
      </c>
      <c r="C97" s="442"/>
      <c r="D97" s="404"/>
      <c r="E97" s="405"/>
      <c r="F97" s="407"/>
      <c r="G97" s="499"/>
      <c r="H97" s="500"/>
      <c r="I97" s="492"/>
      <c r="J97" s="442"/>
      <c r="K97" s="404"/>
      <c r="L97" s="405"/>
      <c r="M97" s="407"/>
      <c r="N97" s="369"/>
      <c r="O97" s="369"/>
      <c r="P97" s="259"/>
      <c r="Q97" s="259"/>
      <c r="R97" s="442"/>
      <c r="S97" s="404"/>
      <c r="T97" s="405"/>
      <c r="U97" s="406"/>
      <c r="V97" s="407"/>
      <c r="W97" s="407"/>
      <c r="X97" s="435"/>
      <c r="Y97" s="436"/>
      <c r="AA97" s="477"/>
      <c r="AB97" s="477"/>
      <c r="AC97" s="477"/>
      <c r="AD97" s="477"/>
      <c r="AE97" s="477"/>
      <c r="AF97" s="477"/>
      <c r="AG97" s="477"/>
      <c r="AH97" s="477"/>
      <c r="AI97" s="477"/>
      <c r="AJ97" s="477"/>
    </row>
    <row r="98" spans="2:36" ht="15" outlineLevel="1">
      <c r="B98" s="414">
        <v>92</v>
      </c>
      <c r="C98" s="442"/>
      <c r="D98" s="404"/>
      <c r="E98" s="405"/>
      <c r="F98" s="407"/>
      <c r="G98" s="499"/>
      <c r="H98" s="500"/>
      <c r="I98" s="492"/>
      <c r="J98" s="442"/>
      <c r="K98" s="404"/>
      <c r="L98" s="405"/>
      <c r="M98" s="407"/>
      <c r="N98" s="369"/>
      <c r="O98" s="369"/>
      <c r="P98" s="259"/>
      <c r="Q98" s="259"/>
      <c r="R98" s="442"/>
      <c r="S98" s="404"/>
      <c r="T98" s="405"/>
      <c r="U98" s="406"/>
      <c r="V98" s="407"/>
      <c r="W98" s="407"/>
      <c r="X98" s="435"/>
      <c r="Y98" s="436"/>
      <c r="AA98" s="477"/>
      <c r="AB98" s="477"/>
      <c r="AC98" s="477"/>
      <c r="AD98" s="477"/>
      <c r="AE98" s="477"/>
      <c r="AF98" s="477"/>
      <c r="AG98" s="477"/>
      <c r="AH98" s="477"/>
      <c r="AI98" s="477"/>
      <c r="AJ98" s="477"/>
    </row>
    <row r="99" spans="2:36" ht="15" outlineLevel="1">
      <c r="B99" s="414">
        <v>93</v>
      </c>
      <c r="C99" s="442"/>
      <c r="D99" s="404"/>
      <c r="E99" s="405"/>
      <c r="F99" s="407"/>
      <c r="G99" s="499"/>
      <c r="H99" s="500"/>
      <c r="I99" s="492"/>
      <c r="J99" s="442"/>
      <c r="K99" s="404"/>
      <c r="L99" s="405"/>
      <c r="M99" s="407"/>
      <c r="N99" s="369"/>
      <c r="O99" s="369"/>
      <c r="P99" s="259"/>
      <c r="Q99" s="259"/>
      <c r="R99" s="442"/>
      <c r="S99" s="404"/>
      <c r="T99" s="405"/>
      <c r="U99" s="406"/>
      <c r="V99" s="407"/>
      <c r="W99" s="407"/>
      <c r="X99" s="435"/>
      <c r="Y99" s="436"/>
      <c r="AA99" s="477"/>
      <c r="AB99" s="477"/>
      <c r="AC99" s="477"/>
      <c r="AD99" s="477"/>
      <c r="AE99" s="477"/>
      <c r="AF99" s="477"/>
      <c r="AG99" s="477"/>
      <c r="AH99" s="477"/>
      <c r="AI99" s="477"/>
      <c r="AJ99" s="477"/>
    </row>
    <row r="100" spans="2:36" ht="15" outlineLevel="1">
      <c r="B100" s="414">
        <v>94</v>
      </c>
      <c r="C100" s="442"/>
      <c r="D100" s="404"/>
      <c r="E100" s="405"/>
      <c r="F100" s="407"/>
      <c r="G100" s="499"/>
      <c r="H100" s="500"/>
      <c r="I100" s="492"/>
      <c r="J100" s="442"/>
      <c r="K100" s="404"/>
      <c r="L100" s="405"/>
      <c r="M100" s="407"/>
      <c r="N100" s="369"/>
      <c r="O100" s="369"/>
      <c r="P100" s="259"/>
      <c r="Q100" s="259"/>
      <c r="R100" s="442"/>
      <c r="S100" s="404"/>
      <c r="T100" s="405"/>
      <c r="U100" s="406"/>
      <c r="V100" s="407"/>
      <c r="W100" s="407"/>
      <c r="X100" s="435"/>
      <c r="Y100" s="436"/>
      <c r="AA100" s="477"/>
      <c r="AB100" s="477"/>
      <c r="AC100" s="477"/>
      <c r="AD100" s="477"/>
      <c r="AE100" s="477"/>
      <c r="AF100" s="477"/>
      <c r="AG100" s="477"/>
      <c r="AH100" s="477"/>
      <c r="AI100" s="477"/>
      <c r="AJ100" s="477"/>
    </row>
    <row r="101" spans="2:36" ht="15" outlineLevel="1">
      <c r="B101" s="414">
        <v>95</v>
      </c>
      <c r="C101" s="442"/>
      <c r="D101" s="404"/>
      <c r="E101" s="405"/>
      <c r="F101" s="407"/>
      <c r="G101" s="499"/>
      <c r="H101" s="500"/>
      <c r="I101" s="492"/>
      <c r="J101" s="442"/>
      <c r="K101" s="404"/>
      <c r="L101" s="405"/>
      <c r="M101" s="407"/>
      <c r="N101" s="369"/>
      <c r="O101" s="369"/>
      <c r="P101" s="259"/>
      <c r="Q101" s="259"/>
      <c r="R101" s="442"/>
      <c r="S101" s="404"/>
      <c r="T101" s="405"/>
      <c r="U101" s="406"/>
      <c r="V101" s="407"/>
      <c r="W101" s="407"/>
      <c r="X101" s="435"/>
      <c r="Y101" s="436"/>
      <c r="AA101" s="477"/>
      <c r="AB101" s="477"/>
      <c r="AC101" s="477"/>
      <c r="AD101" s="477"/>
      <c r="AE101" s="477"/>
      <c r="AF101" s="477"/>
      <c r="AG101" s="477"/>
      <c r="AH101" s="477"/>
      <c r="AI101" s="477"/>
      <c r="AJ101" s="477"/>
    </row>
    <row r="102" spans="2:36" ht="15" outlineLevel="1">
      <c r="B102" s="414">
        <v>96</v>
      </c>
      <c r="C102" s="442"/>
      <c r="D102" s="404"/>
      <c r="E102" s="405"/>
      <c r="F102" s="407"/>
      <c r="G102" s="499"/>
      <c r="H102" s="500"/>
      <c r="I102" s="492"/>
      <c r="J102" s="442"/>
      <c r="K102" s="404"/>
      <c r="L102" s="405"/>
      <c r="M102" s="407"/>
      <c r="N102" s="369"/>
      <c r="O102" s="369"/>
      <c r="P102" s="259"/>
      <c r="Q102" s="259"/>
      <c r="R102" s="442"/>
      <c r="S102" s="404"/>
      <c r="T102" s="405"/>
      <c r="U102" s="406"/>
      <c r="V102" s="407"/>
      <c r="W102" s="407"/>
      <c r="X102" s="435"/>
      <c r="Y102" s="436"/>
      <c r="AA102" s="477"/>
      <c r="AB102" s="477"/>
      <c r="AC102" s="477"/>
      <c r="AD102" s="477"/>
      <c r="AE102" s="477"/>
      <c r="AF102" s="477"/>
      <c r="AG102" s="477"/>
      <c r="AH102" s="477"/>
      <c r="AI102" s="477"/>
      <c r="AJ102" s="477"/>
    </row>
    <row r="103" spans="2:36" ht="15" outlineLevel="1">
      <c r="B103" s="414">
        <v>97</v>
      </c>
      <c r="C103" s="442"/>
      <c r="D103" s="404"/>
      <c r="E103" s="405"/>
      <c r="F103" s="407"/>
      <c r="G103" s="499"/>
      <c r="H103" s="500"/>
      <c r="I103" s="492"/>
      <c r="J103" s="442"/>
      <c r="K103" s="404"/>
      <c r="L103" s="405"/>
      <c r="M103" s="407"/>
      <c r="N103" s="369"/>
      <c r="O103" s="369"/>
      <c r="P103" s="259"/>
      <c r="Q103" s="259"/>
      <c r="R103" s="442"/>
      <c r="S103" s="404"/>
      <c r="T103" s="405"/>
      <c r="U103" s="406"/>
      <c r="V103" s="407"/>
      <c r="W103" s="407"/>
      <c r="X103" s="435"/>
      <c r="Y103" s="436"/>
      <c r="AA103" s="477"/>
      <c r="AB103" s="477"/>
      <c r="AC103" s="477"/>
      <c r="AD103" s="477"/>
      <c r="AE103" s="477"/>
      <c r="AF103" s="477"/>
      <c r="AG103" s="477"/>
      <c r="AH103" s="477"/>
      <c r="AI103" s="477"/>
      <c r="AJ103" s="477"/>
    </row>
    <row r="104" spans="2:36" ht="15" outlineLevel="1">
      <c r="B104" s="414">
        <v>98</v>
      </c>
      <c r="C104" s="442"/>
      <c r="D104" s="404"/>
      <c r="E104" s="405"/>
      <c r="F104" s="407"/>
      <c r="G104" s="499"/>
      <c r="H104" s="500"/>
      <c r="I104" s="492"/>
      <c r="J104" s="442"/>
      <c r="K104" s="404"/>
      <c r="L104" s="405"/>
      <c r="M104" s="407"/>
      <c r="N104" s="369"/>
      <c r="O104" s="369"/>
      <c r="P104" s="259"/>
      <c r="Q104" s="259"/>
      <c r="R104" s="442"/>
      <c r="S104" s="404"/>
      <c r="T104" s="405"/>
      <c r="U104" s="406"/>
      <c r="V104" s="407"/>
      <c r="W104" s="407"/>
      <c r="X104" s="435"/>
      <c r="Y104" s="436"/>
      <c r="AA104" s="477"/>
      <c r="AB104" s="477"/>
      <c r="AC104" s="477"/>
      <c r="AD104" s="477"/>
      <c r="AE104" s="477"/>
      <c r="AF104" s="477"/>
      <c r="AG104" s="477"/>
      <c r="AH104" s="477"/>
      <c r="AI104" s="477"/>
      <c r="AJ104" s="477"/>
    </row>
    <row r="105" spans="2:36" ht="15" outlineLevel="1">
      <c r="B105" s="414">
        <v>99</v>
      </c>
      <c r="C105" s="442"/>
      <c r="D105" s="404"/>
      <c r="E105" s="405"/>
      <c r="F105" s="407"/>
      <c r="G105" s="499"/>
      <c r="H105" s="500"/>
      <c r="I105" s="492"/>
      <c r="J105" s="442"/>
      <c r="K105" s="404"/>
      <c r="L105" s="405"/>
      <c r="M105" s="407"/>
      <c r="N105" s="369"/>
      <c r="O105" s="369"/>
      <c r="P105" s="259"/>
      <c r="Q105" s="259"/>
      <c r="R105" s="442"/>
      <c r="S105" s="404"/>
      <c r="T105" s="405"/>
      <c r="U105" s="406"/>
      <c r="V105" s="407"/>
      <c r="W105" s="407"/>
      <c r="X105" s="435"/>
      <c r="Y105" s="436"/>
      <c r="AA105" s="477"/>
      <c r="AB105" s="477"/>
      <c r="AC105" s="477"/>
      <c r="AD105" s="477"/>
      <c r="AE105" s="477"/>
      <c r="AF105" s="477"/>
      <c r="AG105" s="477"/>
      <c r="AH105" s="477"/>
      <c r="AI105" s="477"/>
      <c r="AJ105" s="477"/>
    </row>
    <row r="106" spans="2:36" ht="15" outlineLevel="1">
      <c r="B106" s="414">
        <v>100</v>
      </c>
      <c r="C106" s="442"/>
      <c r="D106" s="404"/>
      <c r="E106" s="405"/>
      <c r="F106" s="407"/>
      <c r="G106" s="499"/>
      <c r="H106" s="500"/>
      <c r="I106" s="492"/>
      <c r="J106" s="442"/>
      <c r="K106" s="404"/>
      <c r="L106" s="405"/>
      <c r="M106" s="407"/>
      <c r="N106" s="369"/>
      <c r="O106" s="369"/>
      <c r="P106" s="259"/>
      <c r="Q106" s="259"/>
      <c r="R106" s="442"/>
      <c r="S106" s="404"/>
      <c r="T106" s="405"/>
      <c r="U106" s="406"/>
      <c r="V106" s="407"/>
      <c r="W106" s="407"/>
      <c r="X106" s="435"/>
      <c r="Y106" s="436"/>
      <c r="AA106" s="477"/>
      <c r="AB106" s="477"/>
      <c r="AC106" s="477"/>
      <c r="AD106" s="477"/>
      <c r="AE106" s="477"/>
      <c r="AF106" s="477"/>
      <c r="AG106" s="477"/>
      <c r="AH106" s="477"/>
      <c r="AI106" s="477"/>
      <c r="AJ106" s="477"/>
    </row>
    <row r="107" spans="2:36" ht="15" outlineLevel="1">
      <c r="B107" s="414">
        <v>101</v>
      </c>
      <c r="C107" s="442"/>
      <c r="D107" s="404"/>
      <c r="E107" s="405"/>
      <c r="F107" s="407"/>
      <c r="G107" s="499"/>
      <c r="H107" s="500"/>
      <c r="I107" s="492"/>
      <c r="J107" s="442"/>
      <c r="K107" s="404"/>
      <c r="L107" s="405"/>
      <c r="M107" s="407"/>
      <c r="N107" s="369"/>
      <c r="O107" s="369"/>
      <c r="P107" s="259"/>
      <c r="Q107" s="259"/>
      <c r="R107" s="442"/>
      <c r="S107" s="404"/>
      <c r="T107" s="405"/>
      <c r="U107" s="406"/>
      <c r="V107" s="407"/>
      <c r="W107" s="407"/>
      <c r="X107" s="435"/>
      <c r="Y107" s="436"/>
      <c r="AA107" s="477"/>
      <c r="AB107" s="477"/>
      <c r="AC107" s="477"/>
      <c r="AD107" s="477"/>
      <c r="AE107" s="477"/>
      <c r="AF107" s="477"/>
      <c r="AG107" s="477"/>
      <c r="AH107" s="477"/>
      <c r="AI107" s="477"/>
      <c r="AJ107" s="477"/>
    </row>
    <row r="108" spans="2:36" ht="15" outlineLevel="1">
      <c r="B108" s="414">
        <v>102</v>
      </c>
      <c r="C108" s="442"/>
      <c r="D108" s="404"/>
      <c r="E108" s="405"/>
      <c r="F108" s="407"/>
      <c r="G108" s="499"/>
      <c r="H108" s="500"/>
      <c r="I108" s="492"/>
      <c r="J108" s="442"/>
      <c r="K108" s="404"/>
      <c r="L108" s="405"/>
      <c r="M108" s="407"/>
      <c r="N108" s="369"/>
      <c r="O108" s="369"/>
      <c r="P108" s="259"/>
      <c r="Q108" s="259"/>
      <c r="R108" s="442"/>
      <c r="S108" s="404"/>
      <c r="T108" s="405"/>
      <c r="U108" s="406"/>
      <c r="V108" s="407"/>
      <c r="W108" s="407"/>
      <c r="X108" s="435"/>
      <c r="Y108" s="436"/>
      <c r="AA108" s="477"/>
      <c r="AB108" s="477"/>
      <c r="AC108" s="477"/>
      <c r="AD108" s="477"/>
      <c r="AE108" s="477"/>
      <c r="AF108" s="477"/>
      <c r="AG108" s="477"/>
      <c r="AH108" s="477"/>
      <c r="AI108" s="477"/>
      <c r="AJ108" s="477"/>
    </row>
    <row r="109" spans="2:36" ht="15" outlineLevel="1">
      <c r="B109" s="414">
        <v>103</v>
      </c>
      <c r="C109" s="442"/>
      <c r="D109" s="404"/>
      <c r="E109" s="405"/>
      <c r="F109" s="407"/>
      <c r="G109" s="499"/>
      <c r="H109" s="500"/>
      <c r="I109" s="492"/>
      <c r="J109" s="442"/>
      <c r="K109" s="404"/>
      <c r="L109" s="405"/>
      <c r="M109" s="407"/>
      <c r="N109" s="369"/>
      <c r="O109" s="369"/>
      <c r="P109" s="259"/>
      <c r="Q109" s="259"/>
      <c r="R109" s="442"/>
      <c r="S109" s="404"/>
      <c r="T109" s="405"/>
      <c r="U109" s="406"/>
      <c r="V109" s="407"/>
      <c r="W109" s="407"/>
      <c r="X109" s="435"/>
      <c r="Y109" s="436"/>
      <c r="AA109" s="477"/>
      <c r="AB109" s="477"/>
      <c r="AC109" s="477"/>
      <c r="AD109" s="477"/>
      <c r="AE109" s="477"/>
      <c r="AF109" s="477"/>
      <c r="AG109" s="477"/>
      <c r="AH109" s="477"/>
      <c r="AI109" s="477"/>
      <c r="AJ109" s="477"/>
    </row>
    <row r="110" spans="2:36" ht="15" outlineLevel="1">
      <c r="B110" s="414">
        <v>104</v>
      </c>
      <c r="C110" s="442"/>
      <c r="D110" s="404"/>
      <c r="E110" s="405"/>
      <c r="F110" s="407"/>
      <c r="G110" s="499"/>
      <c r="H110" s="500"/>
      <c r="I110" s="492"/>
      <c r="J110" s="442"/>
      <c r="K110" s="404"/>
      <c r="L110" s="405"/>
      <c r="M110" s="407"/>
      <c r="N110" s="369"/>
      <c r="O110" s="369"/>
      <c r="P110" s="259"/>
      <c r="Q110" s="259"/>
      <c r="R110" s="442"/>
      <c r="S110" s="404"/>
      <c r="T110" s="405"/>
      <c r="U110" s="406"/>
      <c r="V110" s="407"/>
      <c r="W110" s="407"/>
      <c r="X110" s="435"/>
      <c r="Y110" s="436"/>
      <c r="AA110" s="477"/>
      <c r="AB110" s="477"/>
      <c r="AC110" s="477"/>
      <c r="AD110" s="477"/>
      <c r="AE110" s="477"/>
      <c r="AF110" s="477"/>
      <c r="AG110" s="477"/>
      <c r="AH110" s="477"/>
      <c r="AI110" s="477"/>
      <c r="AJ110" s="477"/>
    </row>
    <row r="111" spans="2:36" ht="15" outlineLevel="1">
      <c r="B111" s="414">
        <v>105</v>
      </c>
      <c r="C111" s="442"/>
      <c r="D111" s="404"/>
      <c r="E111" s="405"/>
      <c r="F111" s="407"/>
      <c r="G111" s="499"/>
      <c r="H111" s="500"/>
      <c r="I111" s="492"/>
      <c r="J111" s="442"/>
      <c r="K111" s="404"/>
      <c r="L111" s="405"/>
      <c r="M111" s="407"/>
      <c r="N111" s="369"/>
      <c r="O111" s="369"/>
      <c r="P111" s="259"/>
      <c r="Q111" s="259"/>
      <c r="R111" s="442"/>
      <c r="S111" s="404"/>
      <c r="T111" s="405"/>
      <c r="U111" s="406"/>
      <c r="V111" s="407"/>
      <c r="W111" s="407"/>
      <c r="X111" s="435"/>
      <c r="Y111" s="436"/>
      <c r="AA111" s="477"/>
      <c r="AB111" s="477"/>
      <c r="AC111" s="477"/>
      <c r="AD111" s="477"/>
      <c r="AE111" s="477"/>
      <c r="AF111" s="477"/>
      <c r="AG111" s="477"/>
      <c r="AH111" s="477"/>
      <c r="AI111" s="477"/>
      <c r="AJ111" s="477"/>
    </row>
    <row r="112" spans="2:36" ht="15" outlineLevel="1">
      <c r="B112" s="414">
        <v>106</v>
      </c>
      <c r="C112" s="442"/>
      <c r="D112" s="404"/>
      <c r="E112" s="405"/>
      <c r="F112" s="407"/>
      <c r="G112" s="499"/>
      <c r="H112" s="500"/>
      <c r="I112" s="492"/>
      <c r="J112" s="442"/>
      <c r="K112" s="404"/>
      <c r="L112" s="405"/>
      <c r="M112" s="407"/>
      <c r="N112" s="369"/>
      <c r="O112" s="369"/>
      <c r="P112" s="259"/>
      <c r="Q112" s="259"/>
      <c r="R112" s="442"/>
      <c r="S112" s="404"/>
      <c r="T112" s="405"/>
      <c r="U112" s="406"/>
      <c r="V112" s="407"/>
      <c r="W112" s="407"/>
      <c r="X112" s="435"/>
      <c r="Y112" s="436"/>
      <c r="AA112" s="477"/>
      <c r="AB112" s="477"/>
      <c r="AC112" s="477"/>
      <c r="AD112" s="477"/>
      <c r="AE112" s="477"/>
      <c r="AF112" s="477"/>
      <c r="AG112" s="477"/>
      <c r="AH112" s="477"/>
      <c r="AI112" s="477"/>
      <c r="AJ112" s="477"/>
    </row>
    <row r="113" spans="2:36" ht="15" outlineLevel="1">
      <c r="B113" s="414">
        <v>107</v>
      </c>
      <c r="C113" s="442"/>
      <c r="D113" s="404"/>
      <c r="E113" s="405"/>
      <c r="F113" s="407"/>
      <c r="G113" s="499"/>
      <c r="H113" s="500"/>
      <c r="I113" s="492"/>
      <c r="J113" s="442"/>
      <c r="K113" s="404"/>
      <c r="L113" s="405"/>
      <c r="M113" s="407"/>
      <c r="N113" s="369"/>
      <c r="O113" s="369"/>
      <c r="P113" s="259"/>
      <c r="Q113" s="259"/>
      <c r="R113" s="442"/>
      <c r="S113" s="404"/>
      <c r="T113" s="405"/>
      <c r="U113" s="406"/>
      <c r="V113" s="407"/>
      <c r="W113" s="407"/>
      <c r="X113" s="435"/>
      <c r="Y113" s="436"/>
      <c r="AA113" s="477"/>
      <c r="AB113" s="477"/>
      <c r="AC113" s="477"/>
      <c r="AD113" s="477"/>
      <c r="AE113" s="477"/>
      <c r="AF113" s="477"/>
      <c r="AG113" s="477"/>
      <c r="AH113" s="477"/>
      <c r="AI113" s="477"/>
      <c r="AJ113" s="477"/>
    </row>
    <row r="114" spans="2:36" ht="15" outlineLevel="1">
      <c r="B114" s="414">
        <v>108</v>
      </c>
      <c r="C114" s="442"/>
      <c r="D114" s="404"/>
      <c r="E114" s="405"/>
      <c r="F114" s="407"/>
      <c r="G114" s="499"/>
      <c r="H114" s="500"/>
      <c r="I114" s="492"/>
      <c r="J114" s="442"/>
      <c r="K114" s="404"/>
      <c r="L114" s="405"/>
      <c r="M114" s="407"/>
      <c r="N114" s="368"/>
      <c r="O114" s="368"/>
      <c r="P114" s="81"/>
      <c r="Q114" s="81"/>
      <c r="R114" s="442"/>
      <c r="S114" s="404"/>
      <c r="T114" s="405"/>
      <c r="U114" s="406"/>
      <c r="V114" s="407"/>
      <c r="W114" s="407"/>
      <c r="X114" s="435"/>
      <c r="Y114" s="436"/>
      <c r="AA114" s="477"/>
      <c r="AB114" s="477"/>
      <c r="AC114" s="477"/>
      <c r="AD114" s="477"/>
      <c r="AE114" s="477"/>
      <c r="AF114" s="477"/>
      <c r="AG114" s="477"/>
      <c r="AH114" s="477"/>
      <c r="AI114" s="477"/>
      <c r="AJ114" s="477"/>
    </row>
    <row r="115" spans="2:36" ht="15" outlineLevel="1">
      <c r="B115" s="414">
        <v>109</v>
      </c>
      <c r="C115" s="442"/>
      <c r="D115" s="404"/>
      <c r="E115" s="405"/>
      <c r="F115" s="407"/>
      <c r="G115" s="499"/>
      <c r="H115" s="500"/>
      <c r="I115" s="492"/>
      <c r="J115" s="442"/>
      <c r="K115" s="404"/>
      <c r="L115" s="405"/>
      <c r="M115" s="407"/>
      <c r="N115" s="368"/>
      <c r="O115" s="368"/>
      <c r="P115" s="81"/>
      <c r="Q115" s="81"/>
      <c r="R115" s="442"/>
      <c r="S115" s="404"/>
      <c r="T115" s="405"/>
      <c r="U115" s="406"/>
      <c r="V115" s="407"/>
      <c r="W115" s="407"/>
      <c r="X115" s="435"/>
      <c r="Y115" s="436"/>
      <c r="AA115" s="477"/>
      <c r="AB115" s="477"/>
      <c r="AC115" s="477"/>
      <c r="AD115" s="477"/>
      <c r="AE115" s="477"/>
      <c r="AF115" s="477"/>
      <c r="AG115" s="477"/>
      <c r="AH115" s="477"/>
      <c r="AI115" s="477"/>
      <c r="AJ115" s="477"/>
    </row>
    <row r="116" spans="2:36" ht="15" outlineLevel="1">
      <c r="B116" s="414">
        <v>110</v>
      </c>
      <c r="C116" s="442"/>
      <c r="D116" s="404"/>
      <c r="E116" s="405"/>
      <c r="F116" s="407"/>
      <c r="G116" s="499"/>
      <c r="H116" s="500"/>
      <c r="I116" s="492"/>
      <c r="J116" s="442"/>
      <c r="K116" s="404"/>
      <c r="L116" s="405"/>
      <c r="M116" s="407"/>
      <c r="N116" s="368"/>
      <c r="O116" s="368"/>
      <c r="P116" s="81"/>
      <c r="Q116" s="81"/>
      <c r="R116" s="442"/>
      <c r="S116" s="404"/>
      <c r="T116" s="405"/>
      <c r="U116" s="406"/>
      <c r="V116" s="407"/>
      <c r="W116" s="407"/>
      <c r="X116" s="435"/>
      <c r="Y116" s="436"/>
      <c r="AA116" s="477"/>
      <c r="AB116" s="477"/>
      <c r="AC116" s="477"/>
      <c r="AD116" s="477"/>
      <c r="AE116" s="477"/>
      <c r="AF116" s="477"/>
      <c r="AG116" s="477"/>
      <c r="AH116" s="477"/>
      <c r="AI116" s="477"/>
      <c r="AJ116" s="477"/>
    </row>
    <row r="117" spans="2:36" ht="15" outlineLevel="1">
      <c r="B117" s="414">
        <v>111</v>
      </c>
      <c r="C117" s="442"/>
      <c r="D117" s="404"/>
      <c r="E117" s="405"/>
      <c r="F117" s="407"/>
      <c r="G117" s="499"/>
      <c r="H117" s="500"/>
      <c r="I117" s="492"/>
      <c r="J117" s="442"/>
      <c r="K117" s="404"/>
      <c r="L117" s="405"/>
      <c r="M117" s="407"/>
      <c r="N117" s="368"/>
      <c r="O117" s="368"/>
      <c r="P117" s="81"/>
      <c r="Q117" s="81"/>
      <c r="R117" s="442"/>
      <c r="S117" s="404"/>
      <c r="T117" s="405"/>
      <c r="U117" s="406"/>
      <c r="V117" s="407"/>
      <c r="W117" s="407"/>
      <c r="X117" s="435"/>
      <c r="Y117" s="436"/>
      <c r="AA117" s="477"/>
      <c r="AB117" s="477"/>
      <c r="AC117" s="477"/>
      <c r="AD117" s="477"/>
      <c r="AE117" s="477"/>
      <c r="AF117" s="477"/>
      <c r="AG117" s="477"/>
      <c r="AH117" s="477"/>
      <c r="AI117" s="477"/>
      <c r="AJ117" s="477"/>
    </row>
    <row r="118" spans="2:36" ht="15" outlineLevel="1">
      <c r="B118" s="414">
        <v>112</v>
      </c>
      <c r="C118" s="442"/>
      <c r="D118" s="404"/>
      <c r="E118" s="405"/>
      <c r="F118" s="407"/>
      <c r="G118" s="499"/>
      <c r="H118" s="500"/>
      <c r="I118" s="492"/>
      <c r="J118" s="442"/>
      <c r="K118" s="404"/>
      <c r="L118" s="405"/>
      <c r="M118" s="407"/>
      <c r="N118" s="368"/>
      <c r="O118" s="368"/>
      <c r="P118" s="81"/>
      <c r="Q118" s="81"/>
      <c r="R118" s="442"/>
      <c r="S118" s="404"/>
      <c r="T118" s="405"/>
      <c r="U118" s="406"/>
      <c r="V118" s="407"/>
      <c r="W118" s="407"/>
      <c r="X118" s="435"/>
      <c r="Y118" s="436"/>
      <c r="AA118" s="477"/>
      <c r="AB118" s="477"/>
      <c r="AC118" s="477"/>
      <c r="AD118" s="477"/>
      <c r="AE118" s="477"/>
      <c r="AF118" s="477"/>
      <c r="AG118" s="477"/>
      <c r="AH118" s="477"/>
      <c r="AI118" s="477"/>
      <c r="AJ118" s="477"/>
    </row>
    <row r="119" spans="2:36" ht="15" outlineLevel="1">
      <c r="B119" s="414">
        <v>113</v>
      </c>
      <c r="C119" s="442"/>
      <c r="D119" s="404"/>
      <c r="E119" s="405"/>
      <c r="F119" s="407"/>
      <c r="G119" s="499"/>
      <c r="H119" s="500"/>
      <c r="I119" s="492"/>
      <c r="J119" s="442"/>
      <c r="K119" s="404"/>
      <c r="L119" s="405"/>
      <c r="M119" s="407"/>
      <c r="N119" s="368"/>
      <c r="O119" s="368"/>
      <c r="P119" s="81"/>
      <c r="Q119" s="81"/>
      <c r="R119" s="442"/>
      <c r="S119" s="404"/>
      <c r="T119" s="405"/>
      <c r="U119" s="406"/>
      <c r="V119" s="407"/>
      <c r="W119" s="407"/>
      <c r="X119" s="435"/>
      <c r="Y119" s="436"/>
      <c r="AA119" s="477"/>
      <c r="AB119" s="477"/>
      <c r="AC119" s="477"/>
      <c r="AD119" s="477"/>
      <c r="AE119" s="477"/>
      <c r="AF119" s="477"/>
      <c r="AG119" s="477"/>
      <c r="AH119" s="477"/>
      <c r="AI119" s="477"/>
      <c r="AJ119" s="477"/>
    </row>
    <row r="120" spans="2:36" ht="15" outlineLevel="1">
      <c r="B120" s="414">
        <v>114</v>
      </c>
      <c r="C120" s="442"/>
      <c r="D120" s="404"/>
      <c r="E120" s="405"/>
      <c r="F120" s="407"/>
      <c r="G120" s="499"/>
      <c r="H120" s="500"/>
      <c r="I120" s="492"/>
      <c r="J120" s="442"/>
      <c r="K120" s="404"/>
      <c r="L120" s="405"/>
      <c r="M120" s="407"/>
      <c r="N120" s="368"/>
      <c r="O120" s="368"/>
      <c r="P120" s="81"/>
      <c r="Q120" s="81"/>
      <c r="R120" s="442"/>
      <c r="S120" s="404"/>
      <c r="T120" s="405"/>
      <c r="U120" s="406"/>
      <c r="V120" s="407"/>
      <c r="W120" s="407"/>
      <c r="X120" s="435"/>
      <c r="Y120" s="436"/>
      <c r="AA120" s="477"/>
      <c r="AB120" s="477"/>
      <c r="AC120" s="477"/>
      <c r="AD120" s="477"/>
      <c r="AE120" s="477"/>
      <c r="AF120" s="477"/>
      <c r="AG120" s="477"/>
      <c r="AH120" s="477"/>
      <c r="AI120" s="477"/>
      <c r="AJ120" s="477"/>
    </row>
    <row r="121" spans="2:36" ht="15" outlineLevel="1">
      <c r="B121" s="414">
        <v>115</v>
      </c>
      <c r="C121" s="442"/>
      <c r="D121" s="404"/>
      <c r="E121" s="405"/>
      <c r="F121" s="407"/>
      <c r="G121" s="499"/>
      <c r="H121" s="500"/>
      <c r="I121" s="492"/>
      <c r="J121" s="442"/>
      <c r="K121" s="404"/>
      <c r="L121" s="405"/>
      <c r="M121" s="407"/>
      <c r="N121" s="368"/>
      <c r="O121" s="368"/>
      <c r="P121" s="81"/>
      <c r="Q121" s="81"/>
      <c r="R121" s="442"/>
      <c r="S121" s="404"/>
      <c r="T121" s="405"/>
      <c r="U121" s="406"/>
      <c r="V121" s="407"/>
      <c r="W121" s="407"/>
      <c r="X121" s="435"/>
      <c r="Y121" s="436"/>
      <c r="AA121" s="477"/>
      <c r="AB121" s="477"/>
      <c r="AC121" s="477"/>
      <c r="AD121" s="477"/>
      <c r="AE121" s="477"/>
      <c r="AF121" s="477"/>
      <c r="AG121" s="477"/>
      <c r="AH121" s="477"/>
      <c r="AI121" s="477"/>
      <c r="AJ121" s="477"/>
    </row>
    <row r="122" spans="2:36" ht="15" outlineLevel="1">
      <c r="B122" s="414">
        <v>116</v>
      </c>
      <c r="C122" s="442"/>
      <c r="D122" s="404"/>
      <c r="E122" s="405"/>
      <c r="F122" s="407"/>
      <c r="G122" s="499"/>
      <c r="H122" s="500"/>
      <c r="I122" s="492"/>
      <c r="J122" s="442"/>
      <c r="K122" s="404"/>
      <c r="L122" s="405"/>
      <c r="M122" s="407"/>
      <c r="N122" s="368"/>
      <c r="O122" s="368"/>
      <c r="P122" s="81"/>
      <c r="Q122" s="81"/>
      <c r="R122" s="442"/>
      <c r="S122" s="404"/>
      <c r="T122" s="405"/>
      <c r="U122" s="406"/>
      <c r="V122" s="407"/>
      <c r="W122" s="407"/>
      <c r="X122" s="435"/>
      <c r="Y122" s="436"/>
      <c r="AA122" s="477"/>
      <c r="AB122" s="477"/>
      <c r="AC122" s="477"/>
      <c r="AD122" s="477"/>
      <c r="AE122" s="477"/>
      <c r="AF122" s="477"/>
      <c r="AG122" s="477"/>
      <c r="AH122" s="477"/>
      <c r="AI122" s="477"/>
      <c r="AJ122" s="477"/>
    </row>
    <row r="123" spans="2:36" ht="15" outlineLevel="1">
      <c r="B123" s="414">
        <v>117</v>
      </c>
      <c r="C123" s="442"/>
      <c r="D123" s="404"/>
      <c r="E123" s="405"/>
      <c r="F123" s="407"/>
      <c r="G123" s="499"/>
      <c r="H123" s="500"/>
      <c r="I123" s="492"/>
      <c r="J123" s="442"/>
      <c r="K123" s="404"/>
      <c r="L123" s="405"/>
      <c r="M123" s="407"/>
      <c r="N123" s="368"/>
      <c r="O123" s="368"/>
      <c r="P123" s="81"/>
      <c r="Q123" s="81"/>
      <c r="R123" s="442"/>
      <c r="S123" s="404"/>
      <c r="T123" s="405"/>
      <c r="U123" s="406"/>
      <c r="V123" s="407"/>
      <c r="W123" s="407"/>
      <c r="X123" s="435"/>
      <c r="Y123" s="436"/>
      <c r="AA123" s="477"/>
      <c r="AB123" s="477"/>
      <c r="AC123" s="477"/>
      <c r="AD123" s="477"/>
      <c r="AE123" s="477"/>
      <c r="AF123" s="477"/>
      <c r="AG123" s="477"/>
      <c r="AH123" s="477"/>
      <c r="AI123" s="477"/>
      <c r="AJ123" s="477"/>
    </row>
    <row r="124" spans="2:36" ht="15" outlineLevel="1">
      <c r="B124" s="414">
        <v>118</v>
      </c>
      <c r="C124" s="442"/>
      <c r="D124" s="404"/>
      <c r="E124" s="405"/>
      <c r="F124" s="407"/>
      <c r="G124" s="499"/>
      <c r="H124" s="500"/>
      <c r="I124" s="492"/>
      <c r="J124" s="442"/>
      <c r="K124" s="404"/>
      <c r="L124" s="405"/>
      <c r="M124" s="407"/>
      <c r="N124" s="368"/>
      <c r="O124" s="368"/>
      <c r="P124" s="81"/>
      <c r="Q124" s="81"/>
      <c r="R124" s="442"/>
      <c r="S124" s="404"/>
      <c r="T124" s="405"/>
      <c r="U124" s="406"/>
      <c r="V124" s="407"/>
      <c r="W124" s="407"/>
      <c r="X124" s="435"/>
      <c r="Y124" s="436"/>
      <c r="AA124" s="477"/>
      <c r="AB124" s="477"/>
      <c r="AC124" s="477"/>
      <c r="AD124" s="477"/>
      <c r="AE124" s="477"/>
      <c r="AF124" s="477"/>
      <c r="AG124" s="477"/>
      <c r="AH124" s="477"/>
      <c r="AI124" s="477"/>
      <c r="AJ124" s="477"/>
    </row>
    <row r="125" spans="2:36" ht="15" outlineLevel="1">
      <c r="B125" s="414">
        <v>119</v>
      </c>
      <c r="C125" s="442"/>
      <c r="D125" s="404"/>
      <c r="E125" s="405"/>
      <c r="F125" s="407"/>
      <c r="G125" s="499"/>
      <c r="H125" s="500"/>
      <c r="I125" s="492"/>
      <c r="J125" s="442"/>
      <c r="K125" s="404"/>
      <c r="L125" s="405"/>
      <c r="M125" s="407"/>
      <c r="N125" s="368"/>
      <c r="O125" s="368"/>
      <c r="P125" s="81"/>
      <c r="Q125" s="81"/>
      <c r="R125" s="442"/>
      <c r="S125" s="404"/>
      <c r="T125" s="405"/>
      <c r="U125" s="406"/>
      <c r="V125" s="407"/>
      <c r="W125" s="407"/>
      <c r="X125" s="435"/>
      <c r="Y125" s="436"/>
      <c r="AA125" s="477"/>
      <c r="AB125" s="477"/>
      <c r="AC125" s="477"/>
      <c r="AD125" s="477"/>
      <c r="AE125" s="477"/>
      <c r="AF125" s="477"/>
      <c r="AG125" s="477"/>
      <c r="AH125" s="477"/>
      <c r="AI125" s="477"/>
      <c r="AJ125" s="477"/>
    </row>
    <row r="126" spans="2:36" ht="15" outlineLevel="1">
      <c r="B126" s="414">
        <v>120</v>
      </c>
      <c r="C126" s="442"/>
      <c r="D126" s="404"/>
      <c r="E126" s="405"/>
      <c r="F126" s="407"/>
      <c r="G126" s="499"/>
      <c r="H126" s="500"/>
      <c r="I126" s="492"/>
      <c r="J126" s="442"/>
      <c r="K126" s="404"/>
      <c r="L126" s="405"/>
      <c r="M126" s="407"/>
      <c r="N126" s="368"/>
      <c r="O126" s="368"/>
      <c r="P126" s="81"/>
      <c r="Q126" s="81"/>
      <c r="R126" s="442"/>
      <c r="S126" s="404"/>
      <c r="T126" s="405"/>
      <c r="U126" s="406"/>
      <c r="V126" s="407"/>
      <c r="W126" s="407"/>
      <c r="X126" s="435"/>
      <c r="Y126" s="436"/>
      <c r="AA126" s="477"/>
      <c r="AB126" s="477"/>
      <c r="AC126" s="477"/>
      <c r="AD126" s="477"/>
      <c r="AE126" s="477"/>
      <c r="AF126" s="477"/>
      <c r="AG126" s="477"/>
      <c r="AH126" s="477"/>
      <c r="AI126" s="477"/>
      <c r="AJ126" s="477"/>
    </row>
    <row r="127" spans="2:36" ht="15" outlineLevel="1">
      <c r="B127" s="414">
        <v>121</v>
      </c>
      <c r="C127" s="442"/>
      <c r="D127" s="404"/>
      <c r="E127" s="405"/>
      <c r="F127" s="407"/>
      <c r="G127" s="499"/>
      <c r="H127" s="500"/>
      <c r="I127" s="492"/>
      <c r="J127" s="442"/>
      <c r="K127" s="404"/>
      <c r="L127" s="405"/>
      <c r="M127" s="407"/>
      <c r="N127" s="368"/>
      <c r="O127" s="368"/>
      <c r="P127" s="81"/>
      <c r="Q127" s="81"/>
      <c r="R127" s="442"/>
      <c r="S127" s="404"/>
      <c r="T127" s="405"/>
      <c r="U127" s="406"/>
      <c r="V127" s="407"/>
      <c r="W127" s="407"/>
      <c r="X127" s="435"/>
      <c r="Y127" s="436"/>
      <c r="AA127" s="477"/>
      <c r="AB127" s="477"/>
      <c r="AC127" s="477"/>
      <c r="AD127" s="477"/>
      <c r="AE127" s="477"/>
      <c r="AF127" s="477"/>
      <c r="AG127" s="477"/>
      <c r="AH127" s="477"/>
      <c r="AI127" s="477"/>
      <c r="AJ127" s="477"/>
    </row>
    <row r="128" spans="2:36" ht="15" outlineLevel="1">
      <c r="B128" s="414">
        <v>122</v>
      </c>
      <c r="C128" s="442"/>
      <c r="D128" s="404"/>
      <c r="E128" s="405"/>
      <c r="F128" s="407"/>
      <c r="G128" s="499"/>
      <c r="H128" s="500"/>
      <c r="I128" s="492"/>
      <c r="J128" s="442"/>
      <c r="K128" s="404"/>
      <c r="L128" s="405"/>
      <c r="M128" s="407"/>
      <c r="N128" s="368"/>
      <c r="O128" s="368"/>
      <c r="P128" s="81"/>
      <c r="Q128" s="81"/>
      <c r="R128" s="442"/>
      <c r="S128" s="404"/>
      <c r="T128" s="405"/>
      <c r="U128" s="406"/>
      <c r="V128" s="407"/>
      <c r="W128" s="407"/>
      <c r="X128" s="435"/>
      <c r="Y128" s="436"/>
      <c r="AA128" s="477"/>
      <c r="AB128" s="477"/>
      <c r="AC128" s="477"/>
      <c r="AD128" s="477"/>
      <c r="AE128" s="477"/>
      <c r="AF128" s="477"/>
      <c r="AG128" s="477"/>
      <c r="AH128" s="477"/>
      <c r="AI128" s="477"/>
      <c r="AJ128" s="477"/>
    </row>
    <row r="129" spans="2:36" ht="15" outlineLevel="1">
      <c r="B129" s="414">
        <v>123</v>
      </c>
      <c r="C129" s="442"/>
      <c r="D129" s="404"/>
      <c r="E129" s="405"/>
      <c r="F129" s="407"/>
      <c r="G129" s="499"/>
      <c r="H129" s="500"/>
      <c r="I129" s="492"/>
      <c r="J129" s="442"/>
      <c r="K129" s="404"/>
      <c r="L129" s="405"/>
      <c r="M129" s="407"/>
      <c r="N129" s="368"/>
      <c r="O129" s="368"/>
      <c r="P129" s="81"/>
      <c r="Q129" s="81"/>
      <c r="R129" s="442"/>
      <c r="S129" s="404"/>
      <c r="T129" s="405"/>
      <c r="U129" s="406"/>
      <c r="V129" s="407"/>
      <c r="W129" s="407"/>
      <c r="X129" s="435"/>
      <c r="Y129" s="436"/>
      <c r="AA129" s="477"/>
      <c r="AB129" s="477"/>
      <c r="AC129" s="477"/>
      <c r="AD129" s="477"/>
      <c r="AE129" s="477"/>
      <c r="AF129" s="477"/>
      <c r="AG129" s="477"/>
      <c r="AH129" s="477"/>
      <c r="AI129" s="477"/>
      <c r="AJ129" s="477"/>
    </row>
    <row r="130" spans="2:36" ht="15" outlineLevel="1">
      <c r="B130" s="414">
        <v>124</v>
      </c>
      <c r="C130" s="442"/>
      <c r="D130" s="404"/>
      <c r="E130" s="405"/>
      <c r="F130" s="407"/>
      <c r="G130" s="499"/>
      <c r="H130" s="500"/>
      <c r="I130" s="492"/>
      <c r="J130" s="442"/>
      <c r="K130" s="404"/>
      <c r="L130" s="405"/>
      <c r="M130" s="407"/>
      <c r="N130" s="368"/>
      <c r="O130" s="368"/>
      <c r="P130" s="81"/>
      <c r="Q130" s="81"/>
      <c r="R130" s="442"/>
      <c r="S130" s="404"/>
      <c r="T130" s="405"/>
      <c r="U130" s="406"/>
      <c r="V130" s="407"/>
      <c r="W130" s="407"/>
      <c r="X130" s="435"/>
      <c r="Y130" s="436"/>
      <c r="AA130" s="477"/>
      <c r="AB130" s="477"/>
      <c r="AC130" s="477"/>
      <c r="AD130" s="477"/>
      <c r="AE130" s="477"/>
      <c r="AF130" s="477"/>
      <c r="AG130" s="477"/>
      <c r="AH130" s="477"/>
      <c r="AI130" s="477"/>
      <c r="AJ130" s="477"/>
    </row>
    <row r="131" spans="2:36" ht="15" outlineLevel="1">
      <c r="B131" s="414">
        <v>125</v>
      </c>
      <c r="C131" s="442"/>
      <c r="D131" s="404"/>
      <c r="E131" s="405"/>
      <c r="F131" s="407"/>
      <c r="G131" s="499"/>
      <c r="H131" s="500"/>
      <c r="I131" s="492"/>
      <c r="J131" s="442"/>
      <c r="K131" s="404"/>
      <c r="L131" s="405"/>
      <c r="M131" s="407"/>
      <c r="N131" s="368"/>
      <c r="O131" s="368"/>
      <c r="P131" s="81"/>
      <c r="Q131" s="81"/>
      <c r="R131" s="442"/>
      <c r="S131" s="404"/>
      <c r="T131" s="405"/>
      <c r="U131" s="406"/>
      <c r="V131" s="407"/>
      <c r="W131" s="407"/>
      <c r="X131" s="435"/>
      <c r="Y131" s="436"/>
      <c r="AA131" s="477"/>
      <c r="AB131" s="477"/>
      <c r="AC131" s="477"/>
      <c r="AD131" s="477"/>
      <c r="AE131" s="477"/>
      <c r="AF131" s="477"/>
      <c r="AG131" s="477"/>
      <c r="AH131" s="477"/>
      <c r="AI131" s="477"/>
      <c r="AJ131" s="477"/>
    </row>
    <row r="132" spans="2:36" ht="15" outlineLevel="1">
      <c r="B132" s="414">
        <v>126</v>
      </c>
      <c r="C132" s="442"/>
      <c r="D132" s="404"/>
      <c r="E132" s="405"/>
      <c r="F132" s="407"/>
      <c r="G132" s="499"/>
      <c r="H132" s="500"/>
      <c r="I132" s="492"/>
      <c r="J132" s="442"/>
      <c r="K132" s="404"/>
      <c r="L132" s="405"/>
      <c r="M132" s="407"/>
      <c r="N132" s="368"/>
      <c r="O132" s="368"/>
      <c r="P132" s="81"/>
      <c r="Q132" s="81"/>
      <c r="R132" s="442"/>
      <c r="S132" s="404"/>
      <c r="T132" s="405"/>
      <c r="U132" s="406"/>
      <c r="V132" s="407"/>
      <c r="W132" s="407"/>
      <c r="X132" s="435"/>
      <c r="Y132" s="436"/>
      <c r="AA132" s="477"/>
      <c r="AB132" s="477"/>
      <c r="AC132" s="477"/>
      <c r="AD132" s="477"/>
      <c r="AE132" s="477"/>
      <c r="AF132" s="477"/>
      <c r="AG132" s="477"/>
      <c r="AH132" s="477"/>
      <c r="AI132" s="477"/>
      <c r="AJ132" s="477"/>
    </row>
    <row r="133" spans="2:36" ht="15" outlineLevel="1">
      <c r="B133" s="414">
        <v>127</v>
      </c>
      <c r="C133" s="442"/>
      <c r="D133" s="404"/>
      <c r="E133" s="405"/>
      <c r="F133" s="407"/>
      <c r="G133" s="499"/>
      <c r="H133" s="500"/>
      <c r="I133" s="492"/>
      <c r="J133" s="442"/>
      <c r="K133" s="404"/>
      <c r="L133" s="405"/>
      <c r="M133" s="407"/>
      <c r="N133" s="368"/>
      <c r="O133" s="368"/>
      <c r="P133" s="81"/>
      <c r="Q133" s="81"/>
      <c r="R133" s="442"/>
      <c r="S133" s="404"/>
      <c r="T133" s="405"/>
      <c r="U133" s="406"/>
      <c r="V133" s="407"/>
      <c r="W133" s="407"/>
      <c r="X133" s="435"/>
      <c r="Y133" s="436"/>
      <c r="AA133" s="477"/>
      <c r="AB133" s="477"/>
      <c r="AC133" s="477"/>
      <c r="AD133" s="477"/>
      <c r="AE133" s="477"/>
      <c r="AF133" s="477"/>
      <c r="AG133" s="477"/>
      <c r="AH133" s="477"/>
      <c r="AI133" s="477"/>
      <c r="AJ133" s="477"/>
    </row>
    <row r="134" spans="2:36" ht="15" outlineLevel="1">
      <c r="B134" s="414">
        <v>128</v>
      </c>
      <c r="C134" s="442"/>
      <c r="D134" s="404"/>
      <c r="E134" s="405"/>
      <c r="F134" s="407"/>
      <c r="G134" s="499"/>
      <c r="H134" s="500"/>
      <c r="I134" s="492"/>
      <c r="J134" s="442"/>
      <c r="K134" s="404"/>
      <c r="L134" s="405"/>
      <c r="M134" s="407"/>
      <c r="N134" s="368"/>
      <c r="O134" s="368"/>
      <c r="P134" s="81"/>
      <c r="Q134" s="81"/>
      <c r="R134" s="442"/>
      <c r="S134" s="404"/>
      <c r="T134" s="405"/>
      <c r="U134" s="406"/>
      <c r="V134" s="407"/>
      <c r="W134" s="407"/>
      <c r="X134" s="435"/>
      <c r="Y134" s="436"/>
      <c r="AA134" s="477"/>
      <c r="AB134" s="477"/>
      <c r="AC134" s="477"/>
      <c r="AD134" s="477"/>
      <c r="AE134" s="477"/>
      <c r="AF134" s="477"/>
      <c r="AG134" s="477"/>
      <c r="AH134" s="477"/>
      <c r="AI134" s="477"/>
      <c r="AJ134" s="477"/>
    </row>
    <row r="135" spans="2:36" ht="15" outlineLevel="1">
      <c r="B135" s="414">
        <v>129</v>
      </c>
      <c r="C135" s="442"/>
      <c r="D135" s="404"/>
      <c r="E135" s="405"/>
      <c r="F135" s="407"/>
      <c r="G135" s="499"/>
      <c r="H135" s="500"/>
      <c r="I135" s="492"/>
      <c r="J135" s="442"/>
      <c r="K135" s="404"/>
      <c r="L135" s="405"/>
      <c r="M135" s="407"/>
      <c r="N135" s="368"/>
      <c r="O135" s="368"/>
      <c r="P135" s="81"/>
      <c r="Q135" s="81"/>
      <c r="R135" s="442"/>
      <c r="S135" s="404"/>
      <c r="T135" s="405"/>
      <c r="U135" s="406"/>
      <c r="V135" s="407"/>
      <c r="W135" s="407"/>
      <c r="X135" s="435"/>
      <c r="Y135" s="436"/>
      <c r="AA135" s="477"/>
      <c r="AB135" s="477"/>
      <c r="AC135" s="477"/>
      <c r="AD135" s="477"/>
      <c r="AE135" s="477"/>
      <c r="AF135" s="477"/>
      <c r="AG135" s="477"/>
      <c r="AH135" s="477"/>
      <c r="AI135" s="477"/>
      <c r="AJ135" s="477"/>
    </row>
    <row r="136" spans="2:36" ht="15" outlineLevel="1">
      <c r="B136" s="414">
        <v>130</v>
      </c>
      <c r="C136" s="442"/>
      <c r="D136" s="404"/>
      <c r="E136" s="405"/>
      <c r="F136" s="407"/>
      <c r="G136" s="499"/>
      <c r="H136" s="500"/>
      <c r="I136" s="492"/>
      <c r="J136" s="442"/>
      <c r="K136" s="404"/>
      <c r="L136" s="405"/>
      <c r="M136" s="407"/>
      <c r="N136" s="368"/>
      <c r="O136" s="368"/>
      <c r="P136" s="81"/>
      <c r="Q136" s="81"/>
      <c r="R136" s="442"/>
      <c r="S136" s="404"/>
      <c r="T136" s="405"/>
      <c r="U136" s="406"/>
      <c r="V136" s="407"/>
      <c r="W136" s="407"/>
      <c r="X136" s="435"/>
      <c r="Y136" s="436"/>
      <c r="AA136" s="477"/>
      <c r="AB136" s="477"/>
      <c r="AC136" s="477"/>
      <c r="AD136" s="477"/>
      <c r="AE136" s="477"/>
      <c r="AF136" s="477"/>
      <c r="AG136" s="477"/>
      <c r="AH136" s="477"/>
      <c r="AI136" s="477"/>
      <c r="AJ136" s="477"/>
    </row>
    <row r="137" spans="2:36" ht="15" outlineLevel="1">
      <c r="B137" s="414">
        <v>131</v>
      </c>
      <c r="C137" s="442"/>
      <c r="D137" s="404"/>
      <c r="E137" s="405"/>
      <c r="F137" s="407"/>
      <c r="G137" s="499"/>
      <c r="H137" s="500"/>
      <c r="I137" s="492"/>
      <c r="J137" s="442"/>
      <c r="K137" s="404"/>
      <c r="L137" s="405"/>
      <c r="M137" s="407"/>
      <c r="N137" s="368"/>
      <c r="O137" s="368"/>
      <c r="P137" s="81"/>
      <c r="Q137" s="81"/>
      <c r="R137" s="442"/>
      <c r="S137" s="404"/>
      <c r="T137" s="405"/>
      <c r="U137" s="406"/>
      <c r="V137" s="407"/>
      <c r="W137" s="407"/>
      <c r="X137" s="435"/>
      <c r="Y137" s="436"/>
      <c r="AA137" s="477"/>
      <c r="AB137" s="477"/>
      <c r="AC137" s="477"/>
      <c r="AD137" s="477"/>
      <c r="AE137" s="477"/>
      <c r="AF137" s="477"/>
      <c r="AG137" s="477"/>
      <c r="AH137" s="477"/>
      <c r="AI137" s="477"/>
      <c r="AJ137" s="477"/>
    </row>
    <row r="138" spans="2:36" ht="15" outlineLevel="1">
      <c r="B138" s="414">
        <v>132</v>
      </c>
      <c r="C138" s="442"/>
      <c r="D138" s="404"/>
      <c r="E138" s="405"/>
      <c r="F138" s="407"/>
      <c r="G138" s="499"/>
      <c r="H138" s="500"/>
      <c r="I138" s="492"/>
      <c r="J138" s="442"/>
      <c r="K138" s="404"/>
      <c r="L138" s="405"/>
      <c r="M138" s="407"/>
      <c r="N138" s="368"/>
      <c r="O138" s="368"/>
      <c r="P138" s="81"/>
      <c r="Q138" s="81"/>
      <c r="R138" s="442"/>
      <c r="S138" s="404"/>
      <c r="T138" s="405"/>
      <c r="U138" s="406"/>
      <c r="V138" s="407"/>
      <c r="W138" s="407"/>
      <c r="X138" s="435"/>
      <c r="Y138" s="436"/>
      <c r="AA138" s="477"/>
      <c r="AB138" s="477"/>
      <c r="AC138" s="477"/>
      <c r="AD138" s="477"/>
      <c r="AE138" s="477"/>
      <c r="AF138" s="477"/>
      <c r="AG138" s="477"/>
      <c r="AH138" s="477"/>
      <c r="AI138" s="477"/>
      <c r="AJ138" s="477"/>
    </row>
    <row r="139" spans="2:36" ht="15" outlineLevel="1">
      <c r="B139" s="414">
        <v>133</v>
      </c>
      <c r="C139" s="442"/>
      <c r="D139" s="404"/>
      <c r="E139" s="405"/>
      <c r="F139" s="407"/>
      <c r="G139" s="499"/>
      <c r="H139" s="500"/>
      <c r="I139" s="492"/>
      <c r="J139" s="442"/>
      <c r="K139" s="404"/>
      <c r="L139" s="405"/>
      <c r="M139" s="407"/>
      <c r="N139" s="368"/>
      <c r="O139" s="368"/>
      <c r="P139" s="81"/>
      <c r="Q139" s="81"/>
      <c r="R139" s="442"/>
      <c r="S139" s="404"/>
      <c r="T139" s="405"/>
      <c r="U139" s="406"/>
      <c r="V139" s="407"/>
      <c r="W139" s="407"/>
      <c r="X139" s="435"/>
      <c r="Y139" s="436"/>
      <c r="AA139" s="477"/>
      <c r="AB139" s="477"/>
      <c r="AC139" s="477"/>
      <c r="AD139" s="477"/>
      <c r="AE139" s="477"/>
      <c r="AF139" s="477"/>
      <c r="AG139" s="477"/>
      <c r="AH139" s="477"/>
      <c r="AI139" s="477"/>
      <c r="AJ139" s="477"/>
    </row>
    <row r="140" spans="2:36" ht="15" outlineLevel="1">
      <c r="B140" s="414">
        <v>134</v>
      </c>
      <c r="C140" s="442"/>
      <c r="D140" s="404"/>
      <c r="E140" s="405"/>
      <c r="F140" s="407"/>
      <c r="G140" s="499"/>
      <c r="H140" s="500"/>
      <c r="I140" s="492"/>
      <c r="J140" s="442"/>
      <c r="K140" s="404"/>
      <c r="L140" s="405"/>
      <c r="M140" s="407"/>
      <c r="N140" s="368"/>
      <c r="O140" s="368"/>
      <c r="P140" s="81"/>
      <c r="Q140" s="81"/>
      <c r="R140" s="442"/>
      <c r="S140" s="404"/>
      <c r="T140" s="405"/>
      <c r="U140" s="406"/>
      <c r="V140" s="407"/>
      <c r="W140" s="407"/>
      <c r="X140" s="435"/>
      <c r="Y140" s="436"/>
      <c r="AA140" s="477"/>
      <c r="AB140" s="477"/>
      <c r="AC140" s="477"/>
      <c r="AD140" s="477"/>
      <c r="AE140" s="477"/>
      <c r="AF140" s="477"/>
      <c r="AG140" s="477"/>
      <c r="AH140" s="477"/>
      <c r="AI140" s="477"/>
      <c r="AJ140" s="477"/>
    </row>
    <row r="141" spans="2:36" ht="15" outlineLevel="1">
      <c r="B141" s="414">
        <v>135</v>
      </c>
      <c r="C141" s="442"/>
      <c r="D141" s="404"/>
      <c r="E141" s="405"/>
      <c r="F141" s="407"/>
      <c r="G141" s="499"/>
      <c r="H141" s="500"/>
      <c r="I141" s="492"/>
      <c r="J141" s="442"/>
      <c r="K141" s="404"/>
      <c r="L141" s="405"/>
      <c r="M141" s="407"/>
      <c r="N141" s="368"/>
      <c r="O141" s="368"/>
      <c r="P141" s="81"/>
      <c r="Q141" s="81"/>
      <c r="R141" s="442"/>
      <c r="S141" s="404"/>
      <c r="T141" s="405"/>
      <c r="U141" s="406"/>
      <c r="V141" s="407"/>
      <c r="W141" s="407"/>
      <c r="X141" s="435"/>
      <c r="Y141" s="436"/>
      <c r="AA141" s="477"/>
      <c r="AB141" s="477"/>
      <c r="AC141" s="477"/>
      <c r="AD141" s="477"/>
      <c r="AE141" s="477"/>
      <c r="AF141" s="477"/>
      <c r="AG141" s="477"/>
      <c r="AH141" s="477"/>
      <c r="AI141" s="477"/>
      <c r="AJ141" s="477"/>
    </row>
    <row r="142" spans="2:36" ht="15" outlineLevel="1">
      <c r="B142" s="414">
        <v>136</v>
      </c>
      <c r="C142" s="442"/>
      <c r="D142" s="404"/>
      <c r="E142" s="405"/>
      <c r="F142" s="407"/>
      <c r="G142" s="499"/>
      <c r="H142" s="500"/>
      <c r="I142" s="492"/>
      <c r="J142" s="442"/>
      <c r="K142" s="404"/>
      <c r="L142" s="405"/>
      <c r="M142" s="407"/>
      <c r="N142" s="368"/>
      <c r="O142" s="368"/>
      <c r="P142" s="81"/>
      <c r="Q142" s="81"/>
      <c r="R142" s="442"/>
      <c r="S142" s="404"/>
      <c r="T142" s="405"/>
      <c r="U142" s="406"/>
      <c r="V142" s="407"/>
      <c r="W142" s="407"/>
      <c r="X142" s="435"/>
      <c r="Y142" s="436"/>
      <c r="AA142" s="477"/>
      <c r="AB142" s="477"/>
      <c r="AC142" s="477"/>
      <c r="AD142" s="477"/>
      <c r="AE142" s="477"/>
      <c r="AF142" s="477"/>
      <c r="AG142" s="477"/>
      <c r="AH142" s="477"/>
      <c r="AI142" s="477"/>
      <c r="AJ142" s="477"/>
    </row>
    <row r="143" spans="2:36" ht="15" outlineLevel="1">
      <c r="B143" s="414">
        <v>137</v>
      </c>
      <c r="C143" s="442"/>
      <c r="D143" s="404"/>
      <c r="E143" s="405"/>
      <c r="F143" s="407"/>
      <c r="G143" s="499"/>
      <c r="H143" s="500"/>
      <c r="I143" s="492"/>
      <c r="J143" s="442"/>
      <c r="K143" s="404"/>
      <c r="L143" s="405"/>
      <c r="M143" s="407"/>
      <c r="N143" s="368"/>
      <c r="O143" s="368"/>
      <c r="P143" s="81"/>
      <c r="Q143" s="81"/>
      <c r="R143" s="442"/>
      <c r="S143" s="404"/>
      <c r="T143" s="405"/>
      <c r="U143" s="406"/>
      <c r="V143" s="407"/>
      <c r="W143" s="407"/>
      <c r="X143" s="435"/>
      <c r="Y143" s="436"/>
      <c r="AA143" s="477"/>
      <c r="AB143" s="477"/>
      <c r="AC143" s="477"/>
      <c r="AD143" s="477"/>
      <c r="AE143" s="477"/>
      <c r="AF143" s="477"/>
      <c r="AG143" s="477"/>
      <c r="AH143" s="477"/>
      <c r="AI143" s="477"/>
      <c r="AJ143" s="477"/>
    </row>
    <row r="144" spans="2:36" ht="15" outlineLevel="1">
      <c r="B144" s="414">
        <v>138</v>
      </c>
      <c r="C144" s="442"/>
      <c r="D144" s="404"/>
      <c r="E144" s="405"/>
      <c r="F144" s="407"/>
      <c r="G144" s="499"/>
      <c r="H144" s="500"/>
      <c r="I144" s="492"/>
      <c r="J144" s="442"/>
      <c r="K144" s="404"/>
      <c r="L144" s="405"/>
      <c r="M144" s="407"/>
      <c r="N144" s="368"/>
      <c r="O144" s="368"/>
      <c r="P144" s="81"/>
      <c r="Q144" s="81"/>
      <c r="R144" s="442"/>
      <c r="S144" s="404"/>
      <c r="T144" s="405"/>
      <c r="U144" s="406"/>
      <c r="V144" s="407"/>
      <c r="W144" s="407"/>
      <c r="X144" s="435"/>
      <c r="Y144" s="436"/>
      <c r="AA144" s="477"/>
      <c r="AB144" s="477"/>
      <c r="AC144" s="477"/>
      <c r="AD144" s="477"/>
      <c r="AE144" s="477"/>
      <c r="AF144" s="477"/>
      <c r="AG144" s="477"/>
      <c r="AH144" s="477"/>
      <c r="AI144" s="477"/>
      <c r="AJ144" s="477"/>
    </row>
    <row r="145" spans="2:36" ht="15" outlineLevel="1">
      <c r="B145" s="414">
        <v>139</v>
      </c>
      <c r="C145" s="442"/>
      <c r="D145" s="404"/>
      <c r="E145" s="405"/>
      <c r="F145" s="407"/>
      <c r="G145" s="499"/>
      <c r="H145" s="500"/>
      <c r="I145" s="492"/>
      <c r="J145" s="442"/>
      <c r="K145" s="404"/>
      <c r="L145" s="405"/>
      <c r="M145" s="407"/>
      <c r="N145" s="368"/>
      <c r="O145" s="368"/>
      <c r="P145" s="81"/>
      <c r="Q145" s="81"/>
      <c r="R145" s="442"/>
      <c r="S145" s="404"/>
      <c r="T145" s="405"/>
      <c r="U145" s="406"/>
      <c r="V145" s="407"/>
      <c r="W145" s="407"/>
      <c r="X145" s="435"/>
      <c r="Y145" s="436"/>
      <c r="AA145" s="477"/>
      <c r="AB145" s="477"/>
      <c r="AC145" s="477"/>
      <c r="AD145" s="477"/>
      <c r="AE145" s="477"/>
      <c r="AF145" s="477"/>
      <c r="AG145" s="477"/>
      <c r="AH145" s="477"/>
      <c r="AI145" s="477"/>
      <c r="AJ145" s="477"/>
    </row>
    <row r="146" spans="2:36" ht="15" outlineLevel="1">
      <c r="B146" s="414">
        <v>140</v>
      </c>
      <c r="C146" s="442"/>
      <c r="D146" s="404"/>
      <c r="E146" s="405"/>
      <c r="F146" s="407"/>
      <c r="G146" s="499"/>
      <c r="H146" s="500"/>
      <c r="I146" s="492"/>
      <c r="J146" s="442"/>
      <c r="K146" s="404"/>
      <c r="L146" s="405"/>
      <c r="M146" s="407"/>
      <c r="N146" s="368"/>
      <c r="O146" s="368"/>
      <c r="P146" s="81"/>
      <c r="Q146" s="81"/>
      <c r="R146" s="442"/>
      <c r="S146" s="404"/>
      <c r="T146" s="405"/>
      <c r="U146" s="406"/>
      <c r="V146" s="407"/>
      <c r="W146" s="407"/>
      <c r="X146" s="435"/>
      <c r="Y146" s="436"/>
      <c r="AA146" s="477"/>
      <c r="AB146" s="477"/>
      <c r="AC146" s="477"/>
      <c r="AD146" s="477"/>
      <c r="AE146" s="477"/>
      <c r="AF146" s="477"/>
      <c r="AG146" s="477"/>
      <c r="AH146" s="477"/>
      <c r="AI146" s="477"/>
      <c r="AJ146" s="477"/>
    </row>
    <row r="147" spans="2:36" ht="15" outlineLevel="1">
      <c r="B147" s="414">
        <v>141</v>
      </c>
      <c r="C147" s="442"/>
      <c r="D147" s="404"/>
      <c r="E147" s="405"/>
      <c r="F147" s="407"/>
      <c r="G147" s="499"/>
      <c r="H147" s="500"/>
      <c r="I147" s="492"/>
      <c r="J147" s="442"/>
      <c r="K147" s="404"/>
      <c r="L147" s="405"/>
      <c r="M147" s="407"/>
      <c r="N147" s="368"/>
      <c r="O147" s="368"/>
      <c r="P147" s="81"/>
      <c r="Q147" s="81"/>
      <c r="R147" s="442"/>
      <c r="S147" s="404"/>
      <c r="T147" s="405"/>
      <c r="U147" s="406"/>
      <c r="V147" s="407"/>
      <c r="W147" s="407"/>
      <c r="X147" s="435"/>
      <c r="Y147" s="436"/>
      <c r="AA147" s="477"/>
      <c r="AB147" s="477"/>
      <c r="AC147" s="477"/>
      <c r="AD147" s="477"/>
      <c r="AE147" s="477"/>
      <c r="AF147" s="477"/>
      <c r="AG147" s="477"/>
      <c r="AH147" s="477"/>
      <c r="AI147" s="477"/>
      <c r="AJ147" s="477"/>
    </row>
    <row r="148" spans="2:36" ht="15" outlineLevel="1">
      <c r="B148" s="414">
        <v>142</v>
      </c>
      <c r="C148" s="442"/>
      <c r="D148" s="404"/>
      <c r="E148" s="405"/>
      <c r="F148" s="407"/>
      <c r="G148" s="499"/>
      <c r="H148" s="500"/>
      <c r="I148" s="492"/>
      <c r="J148" s="442"/>
      <c r="K148" s="404"/>
      <c r="L148" s="405"/>
      <c r="M148" s="407"/>
      <c r="N148" s="368"/>
      <c r="O148" s="368"/>
      <c r="P148" s="81"/>
      <c r="Q148" s="81"/>
      <c r="R148" s="442"/>
      <c r="S148" s="404"/>
      <c r="T148" s="405"/>
      <c r="U148" s="406"/>
      <c r="V148" s="407"/>
      <c r="W148" s="407"/>
      <c r="X148" s="435"/>
      <c r="Y148" s="436"/>
      <c r="AA148" s="477"/>
      <c r="AB148" s="477"/>
      <c r="AC148" s="477"/>
      <c r="AD148" s="477"/>
      <c r="AE148" s="477"/>
      <c r="AF148" s="477"/>
      <c r="AG148" s="477"/>
      <c r="AH148" s="477"/>
      <c r="AI148" s="477"/>
      <c r="AJ148" s="477"/>
    </row>
    <row r="149" spans="2:36" ht="15" outlineLevel="1">
      <c r="B149" s="414">
        <v>143</v>
      </c>
      <c r="C149" s="442"/>
      <c r="D149" s="404"/>
      <c r="E149" s="405"/>
      <c r="F149" s="407"/>
      <c r="G149" s="499"/>
      <c r="H149" s="500"/>
      <c r="I149" s="492"/>
      <c r="J149" s="442"/>
      <c r="K149" s="404"/>
      <c r="L149" s="405"/>
      <c r="M149" s="407"/>
      <c r="N149" s="368"/>
      <c r="O149" s="368"/>
      <c r="P149" s="81"/>
      <c r="Q149" s="81"/>
      <c r="R149" s="442"/>
      <c r="S149" s="404"/>
      <c r="T149" s="405"/>
      <c r="U149" s="406"/>
      <c r="V149" s="407"/>
      <c r="W149" s="407"/>
      <c r="X149" s="435"/>
      <c r="Y149" s="436"/>
      <c r="AA149" s="477"/>
      <c r="AB149" s="477"/>
      <c r="AC149" s="477"/>
      <c r="AD149" s="477"/>
      <c r="AE149" s="477"/>
      <c r="AF149" s="477"/>
      <c r="AG149" s="477"/>
      <c r="AH149" s="477"/>
      <c r="AI149" s="477"/>
      <c r="AJ149" s="477"/>
    </row>
    <row r="150" spans="2:36" ht="15" outlineLevel="1">
      <c r="B150" s="414">
        <v>144</v>
      </c>
      <c r="C150" s="442"/>
      <c r="D150" s="404"/>
      <c r="E150" s="405"/>
      <c r="F150" s="407"/>
      <c r="G150" s="499"/>
      <c r="H150" s="500"/>
      <c r="I150" s="492"/>
      <c r="J150" s="442"/>
      <c r="K150" s="404"/>
      <c r="L150" s="405"/>
      <c r="M150" s="407"/>
      <c r="N150" s="368"/>
      <c r="O150" s="368"/>
      <c r="P150" s="81"/>
      <c r="Q150" s="81"/>
      <c r="R150" s="442"/>
      <c r="S150" s="404"/>
      <c r="T150" s="405"/>
      <c r="U150" s="406"/>
      <c r="V150" s="407"/>
      <c r="W150" s="407"/>
      <c r="X150" s="435"/>
      <c r="Y150" s="436"/>
      <c r="AA150" s="477"/>
      <c r="AB150" s="477"/>
      <c r="AC150" s="477"/>
      <c r="AD150" s="477"/>
      <c r="AE150" s="477"/>
      <c r="AF150" s="477"/>
      <c r="AG150" s="477"/>
      <c r="AH150" s="477"/>
      <c r="AI150" s="477"/>
      <c r="AJ150" s="477"/>
    </row>
    <row r="151" spans="2:36" ht="15" outlineLevel="1">
      <c r="B151" s="414">
        <v>145</v>
      </c>
      <c r="C151" s="442"/>
      <c r="D151" s="404"/>
      <c r="E151" s="405"/>
      <c r="F151" s="407"/>
      <c r="G151" s="499"/>
      <c r="H151" s="500"/>
      <c r="I151" s="492"/>
      <c r="J151" s="442"/>
      <c r="K151" s="404"/>
      <c r="L151" s="405"/>
      <c r="M151" s="407"/>
      <c r="N151" s="368"/>
      <c r="O151" s="368"/>
      <c r="P151" s="81"/>
      <c r="Q151" s="81"/>
      <c r="R151" s="442"/>
      <c r="S151" s="404"/>
      <c r="T151" s="405"/>
      <c r="U151" s="406"/>
      <c r="V151" s="407"/>
      <c r="W151" s="407"/>
      <c r="X151" s="435"/>
      <c r="Y151" s="436"/>
      <c r="AA151" s="477"/>
      <c r="AB151" s="477"/>
      <c r="AC151" s="477"/>
      <c r="AD151" s="477"/>
      <c r="AE151" s="477"/>
      <c r="AF151" s="477"/>
      <c r="AG151" s="477"/>
      <c r="AH151" s="477"/>
      <c r="AI151" s="477"/>
      <c r="AJ151" s="477"/>
    </row>
    <row r="152" spans="2:36" ht="15" outlineLevel="1">
      <c r="B152" s="414">
        <v>146</v>
      </c>
      <c r="C152" s="442"/>
      <c r="D152" s="404"/>
      <c r="E152" s="405"/>
      <c r="F152" s="407"/>
      <c r="G152" s="499"/>
      <c r="H152" s="500"/>
      <c r="I152" s="492"/>
      <c r="J152" s="442"/>
      <c r="K152" s="404"/>
      <c r="L152" s="405"/>
      <c r="M152" s="407"/>
      <c r="N152" s="368"/>
      <c r="O152" s="368"/>
      <c r="P152" s="81"/>
      <c r="Q152" s="81"/>
      <c r="R152" s="442"/>
      <c r="S152" s="404"/>
      <c r="T152" s="405"/>
      <c r="U152" s="406"/>
      <c r="V152" s="407"/>
      <c r="W152" s="407"/>
      <c r="X152" s="435"/>
      <c r="Y152" s="436"/>
      <c r="AA152" s="477"/>
      <c r="AB152" s="477"/>
      <c r="AC152" s="477"/>
      <c r="AD152" s="477"/>
      <c r="AE152" s="477"/>
      <c r="AF152" s="477"/>
      <c r="AG152" s="477"/>
      <c r="AH152" s="477"/>
      <c r="AI152" s="477"/>
      <c r="AJ152" s="477"/>
    </row>
    <row r="153" spans="2:36" ht="15" outlineLevel="1">
      <c r="B153" s="414">
        <v>147</v>
      </c>
      <c r="C153" s="442"/>
      <c r="D153" s="404"/>
      <c r="E153" s="405"/>
      <c r="F153" s="407"/>
      <c r="G153" s="499"/>
      <c r="H153" s="500"/>
      <c r="I153" s="492"/>
      <c r="J153" s="442"/>
      <c r="K153" s="404"/>
      <c r="L153" s="405"/>
      <c r="M153" s="407"/>
      <c r="N153" s="368"/>
      <c r="O153" s="368"/>
      <c r="P153" s="81"/>
      <c r="Q153" s="81"/>
      <c r="R153" s="442"/>
      <c r="S153" s="404"/>
      <c r="T153" s="405"/>
      <c r="U153" s="406"/>
      <c r="V153" s="407"/>
      <c r="W153" s="407"/>
      <c r="X153" s="435"/>
      <c r="Y153" s="436"/>
      <c r="AA153" s="477"/>
      <c r="AB153" s="477"/>
      <c r="AC153" s="477"/>
      <c r="AD153" s="477"/>
      <c r="AE153" s="477"/>
      <c r="AF153" s="477"/>
      <c r="AG153" s="477"/>
      <c r="AH153" s="477"/>
      <c r="AI153" s="477"/>
      <c r="AJ153" s="477"/>
    </row>
    <row r="154" spans="2:36" ht="15" outlineLevel="1">
      <c r="B154" s="414">
        <v>148</v>
      </c>
      <c r="C154" s="442"/>
      <c r="D154" s="404"/>
      <c r="E154" s="405"/>
      <c r="F154" s="407"/>
      <c r="G154" s="499"/>
      <c r="H154" s="500"/>
      <c r="I154" s="492"/>
      <c r="J154" s="442"/>
      <c r="K154" s="404"/>
      <c r="L154" s="405"/>
      <c r="M154" s="407"/>
      <c r="N154" s="368"/>
      <c r="O154" s="368"/>
      <c r="P154" s="81"/>
      <c r="Q154" s="81"/>
      <c r="R154" s="442"/>
      <c r="S154" s="404"/>
      <c r="T154" s="405"/>
      <c r="U154" s="406"/>
      <c r="V154" s="407"/>
      <c r="W154" s="407"/>
      <c r="X154" s="435"/>
      <c r="Y154" s="436"/>
      <c r="AA154" s="477"/>
      <c r="AB154" s="477"/>
      <c r="AC154" s="477"/>
      <c r="AD154" s="477"/>
      <c r="AE154" s="477"/>
      <c r="AF154" s="477"/>
      <c r="AG154" s="477"/>
      <c r="AH154" s="477"/>
      <c r="AI154" s="477"/>
      <c r="AJ154" s="477"/>
    </row>
    <row r="155" spans="2:36" ht="15" outlineLevel="1">
      <c r="B155" s="414">
        <v>149</v>
      </c>
      <c r="C155" s="442"/>
      <c r="D155" s="404"/>
      <c r="E155" s="405"/>
      <c r="F155" s="407"/>
      <c r="G155" s="499"/>
      <c r="H155" s="500"/>
      <c r="I155" s="492"/>
      <c r="J155" s="442"/>
      <c r="K155" s="404"/>
      <c r="L155" s="405"/>
      <c r="M155" s="407"/>
      <c r="N155" s="368"/>
      <c r="O155" s="368"/>
      <c r="P155" s="81"/>
      <c r="Q155" s="81"/>
      <c r="R155" s="442"/>
      <c r="S155" s="404"/>
      <c r="T155" s="405"/>
      <c r="U155" s="406"/>
      <c r="V155" s="407"/>
      <c r="W155" s="407"/>
      <c r="X155" s="435"/>
      <c r="Y155" s="436"/>
      <c r="AA155" s="477"/>
      <c r="AB155" s="477"/>
      <c r="AC155" s="477"/>
      <c r="AD155" s="477"/>
      <c r="AE155" s="477"/>
      <c r="AF155" s="477"/>
      <c r="AG155" s="477"/>
      <c r="AH155" s="477"/>
      <c r="AI155" s="477"/>
      <c r="AJ155" s="477"/>
    </row>
    <row r="156" spans="2:36" ht="15" outlineLevel="1">
      <c r="B156" s="414">
        <v>150</v>
      </c>
      <c r="C156" s="442"/>
      <c r="D156" s="404"/>
      <c r="E156" s="405"/>
      <c r="F156" s="407"/>
      <c r="G156" s="499"/>
      <c r="H156" s="500"/>
      <c r="I156" s="492"/>
      <c r="J156" s="442"/>
      <c r="K156" s="404"/>
      <c r="L156" s="405"/>
      <c r="M156" s="407"/>
      <c r="N156" s="368"/>
      <c r="O156" s="368"/>
      <c r="P156" s="81"/>
      <c r="Q156" s="81"/>
      <c r="R156" s="442"/>
      <c r="S156" s="404"/>
      <c r="T156" s="405"/>
      <c r="U156" s="406"/>
      <c r="V156" s="407"/>
      <c r="W156" s="407"/>
      <c r="X156" s="435"/>
      <c r="Y156" s="436"/>
      <c r="AA156" s="477"/>
      <c r="AB156" s="477"/>
      <c r="AC156" s="477"/>
      <c r="AD156" s="477"/>
      <c r="AE156" s="477"/>
      <c r="AF156" s="477"/>
      <c r="AG156" s="477"/>
      <c r="AH156" s="477"/>
      <c r="AI156" s="477"/>
      <c r="AJ156" s="477"/>
    </row>
    <row r="157" spans="2:36" ht="15" outlineLevel="1">
      <c r="B157" s="414">
        <v>151</v>
      </c>
      <c r="C157" s="442"/>
      <c r="D157" s="404"/>
      <c r="E157" s="405"/>
      <c r="F157" s="407"/>
      <c r="G157" s="499"/>
      <c r="H157" s="500"/>
      <c r="I157" s="492"/>
      <c r="J157" s="442"/>
      <c r="K157" s="404"/>
      <c r="L157" s="405"/>
      <c r="M157" s="407"/>
      <c r="N157" s="368"/>
      <c r="O157" s="368"/>
      <c r="P157" s="81"/>
      <c r="Q157" s="81"/>
      <c r="R157" s="442"/>
      <c r="S157" s="404"/>
      <c r="T157" s="405"/>
      <c r="U157" s="406"/>
      <c r="V157" s="407"/>
      <c r="W157" s="407"/>
      <c r="X157" s="435"/>
      <c r="Y157" s="436"/>
      <c r="AA157" s="477"/>
      <c r="AB157" s="477"/>
      <c r="AC157" s="477"/>
      <c r="AD157" s="477"/>
      <c r="AE157" s="477"/>
      <c r="AF157" s="477"/>
      <c r="AG157" s="477"/>
      <c r="AH157" s="477"/>
      <c r="AI157" s="477"/>
      <c r="AJ157" s="477"/>
    </row>
    <row r="158" spans="2:36" ht="15" outlineLevel="1">
      <c r="B158" s="414">
        <v>152</v>
      </c>
      <c r="C158" s="442"/>
      <c r="D158" s="404"/>
      <c r="E158" s="405"/>
      <c r="F158" s="407"/>
      <c r="G158" s="499"/>
      <c r="H158" s="500"/>
      <c r="I158" s="492"/>
      <c r="J158" s="442"/>
      <c r="K158" s="404"/>
      <c r="L158" s="405"/>
      <c r="M158" s="407"/>
      <c r="N158" s="368"/>
      <c r="O158" s="368"/>
      <c r="P158" s="81"/>
      <c r="Q158" s="81"/>
      <c r="R158" s="442"/>
      <c r="S158" s="404"/>
      <c r="T158" s="405"/>
      <c r="U158" s="406"/>
      <c r="V158" s="407"/>
      <c r="W158" s="407"/>
      <c r="X158" s="435"/>
      <c r="Y158" s="436"/>
      <c r="AA158" s="477"/>
      <c r="AB158" s="477"/>
      <c r="AC158" s="477"/>
      <c r="AD158" s="477"/>
      <c r="AE158" s="477"/>
      <c r="AF158" s="477"/>
      <c r="AG158" s="477"/>
      <c r="AH158" s="477"/>
      <c r="AI158" s="477"/>
      <c r="AJ158" s="477"/>
    </row>
    <row r="159" spans="2:36" ht="15" outlineLevel="1">
      <c r="B159" s="414">
        <v>153</v>
      </c>
      <c r="C159" s="442"/>
      <c r="D159" s="404"/>
      <c r="E159" s="405"/>
      <c r="F159" s="407"/>
      <c r="G159" s="499"/>
      <c r="H159" s="500"/>
      <c r="I159" s="492"/>
      <c r="J159" s="442"/>
      <c r="K159" s="404"/>
      <c r="L159" s="405"/>
      <c r="M159" s="407"/>
      <c r="N159" s="368"/>
      <c r="O159" s="368"/>
      <c r="P159" s="81"/>
      <c r="Q159" s="81"/>
      <c r="R159" s="442"/>
      <c r="S159" s="404"/>
      <c r="T159" s="405"/>
      <c r="U159" s="406"/>
      <c r="V159" s="407"/>
      <c r="W159" s="407"/>
      <c r="X159" s="435"/>
      <c r="Y159" s="436"/>
      <c r="AA159" s="477"/>
      <c r="AB159" s="477"/>
      <c r="AC159" s="477"/>
      <c r="AD159" s="477"/>
      <c r="AE159" s="477"/>
      <c r="AF159" s="477"/>
      <c r="AG159" s="477"/>
      <c r="AH159" s="477"/>
      <c r="AI159" s="477"/>
      <c r="AJ159" s="477"/>
    </row>
    <row r="160" spans="2:36" ht="15" outlineLevel="1">
      <c r="B160" s="414">
        <v>154</v>
      </c>
      <c r="C160" s="442"/>
      <c r="D160" s="404"/>
      <c r="E160" s="405"/>
      <c r="F160" s="407"/>
      <c r="G160" s="499"/>
      <c r="H160" s="500"/>
      <c r="I160" s="492"/>
      <c r="J160" s="501"/>
      <c r="K160" s="498"/>
      <c r="L160" s="498"/>
      <c r="M160" s="407"/>
      <c r="N160" s="368"/>
      <c r="O160" s="368"/>
      <c r="P160" s="81"/>
      <c r="Q160" s="81"/>
      <c r="R160" s="442"/>
      <c r="S160" s="404"/>
      <c r="T160" s="405"/>
      <c r="U160" s="406"/>
      <c r="V160" s="407"/>
      <c r="W160" s="407"/>
      <c r="X160" s="435"/>
      <c r="Y160" s="436"/>
      <c r="AA160" s="477"/>
      <c r="AB160" s="477"/>
      <c r="AC160" s="477"/>
      <c r="AD160" s="477"/>
      <c r="AE160" s="477"/>
      <c r="AF160" s="477"/>
      <c r="AG160" s="477"/>
      <c r="AH160" s="477"/>
      <c r="AI160" s="477"/>
      <c r="AJ160" s="477"/>
    </row>
    <row r="161" spans="2:36" ht="15" outlineLevel="1">
      <c r="B161" s="414">
        <v>155</v>
      </c>
      <c r="C161" s="442"/>
      <c r="D161" s="404"/>
      <c r="E161" s="405"/>
      <c r="F161" s="407"/>
      <c r="G161" s="499"/>
      <c r="H161" s="500"/>
      <c r="I161" s="492"/>
      <c r="J161" s="501"/>
      <c r="K161" s="498"/>
      <c r="L161" s="498"/>
      <c r="M161" s="407"/>
      <c r="N161" s="368"/>
      <c r="O161" s="368"/>
      <c r="P161" s="81"/>
      <c r="Q161" s="81"/>
      <c r="R161" s="442"/>
      <c r="S161" s="404"/>
      <c r="T161" s="405"/>
      <c r="U161" s="406"/>
      <c r="V161" s="407"/>
      <c r="W161" s="407"/>
      <c r="X161" s="435"/>
      <c r="Y161" s="436"/>
      <c r="AA161" s="477"/>
      <c r="AB161" s="477"/>
      <c r="AC161" s="477"/>
      <c r="AD161" s="477"/>
      <c r="AE161" s="477"/>
      <c r="AF161" s="477"/>
      <c r="AG161" s="477"/>
      <c r="AH161" s="477"/>
      <c r="AI161" s="477"/>
      <c r="AJ161" s="477"/>
    </row>
    <row r="162" spans="2:36" ht="15" outlineLevel="1">
      <c r="B162" s="414">
        <v>156</v>
      </c>
      <c r="C162" s="442"/>
      <c r="D162" s="404"/>
      <c r="E162" s="405"/>
      <c r="F162" s="407"/>
      <c r="G162" s="499"/>
      <c r="H162" s="500"/>
      <c r="I162" s="492"/>
      <c r="J162" s="501"/>
      <c r="K162" s="498"/>
      <c r="L162" s="498"/>
      <c r="M162" s="407"/>
      <c r="N162" s="368"/>
      <c r="O162" s="368"/>
      <c r="P162" s="81"/>
      <c r="Q162" s="81"/>
      <c r="R162" s="442"/>
      <c r="S162" s="404"/>
      <c r="T162" s="405"/>
      <c r="U162" s="406"/>
      <c r="V162" s="407"/>
      <c r="W162" s="407"/>
      <c r="X162" s="435"/>
      <c r="Y162" s="436"/>
      <c r="AA162" s="477"/>
      <c r="AB162" s="477"/>
      <c r="AC162" s="477"/>
      <c r="AD162" s="477"/>
      <c r="AE162" s="477"/>
      <c r="AF162" s="477"/>
      <c r="AG162" s="477"/>
      <c r="AH162" s="477"/>
      <c r="AI162" s="477"/>
      <c r="AJ162" s="477"/>
    </row>
    <row r="163" spans="2:36" ht="15" outlineLevel="1">
      <c r="B163" s="414">
        <v>157</v>
      </c>
      <c r="C163" s="442"/>
      <c r="D163" s="404"/>
      <c r="E163" s="405"/>
      <c r="F163" s="407"/>
      <c r="G163" s="499"/>
      <c r="H163" s="500"/>
      <c r="I163" s="492"/>
      <c r="J163" s="501"/>
      <c r="K163" s="498"/>
      <c r="L163" s="498"/>
      <c r="M163" s="407"/>
      <c r="N163" s="368"/>
      <c r="O163" s="368"/>
      <c r="P163" s="81"/>
      <c r="Q163" s="81"/>
      <c r="R163" s="442"/>
      <c r="S163" s="404"/>
      <c r="T163" s="405"/>
      <c r="U163" s="406"/>
      <c r="V163" s="407"/>
      <c r="W163" s="407"/>
      <c r="X163" s="435"/>
      <c r="Y163" s="436"/>
      <c r="AA163" s="477"/>
      <c r="AB163" s="477"/>
      <c r="AC163" s="477"/>
      <c r="AD163" s="477"/>
      <c r="AE163" s="477"/>
      <c r="AF163" s="477"/>
      <c r="AG163" s="477"/>
      <c r="AH163" s="477"/>
      <c r="AI163" s="477"/>
      <c r="AJ163" s="477"/>
    </row>
    <row r="164" spans="2:36" ht="15" outlineLevel="1">
      <c r="B164" s="414">
        <v>158</v>
      </c>
      <c r="C164" s="442"/>
      <c r="D164" s="404"/>
      <c r="E164" s="405"/>
      <c r="F164" s="407"/>
      <c r="G164" s="499"/>
      <c r="H164" s="500"/>
      <c r="I164" s="492"/>
      <c r="J164" s="501"/>
      <c r="K164" s="498"/>
      <c r="L164" s="498"/>
      <c r="M164" s="407"/>
      <c r="N164" s="368"/>
      <c r="O164" s="368"/>
      <c r="P164" s="81"/>
      <c r="Q164" s="81"/>
      <c r="R164" s="442"/>
      <c r="S164" s="404"/>
      <c r="T164" s="405"/>
      <c r="U164" s="406"/>
      <c r="V164" s="407"/>
      <c r="W164" s="407"/>
      <c r="X164" s="435"/>
      <c r="Y164" s="436"/>
      <c r="AA164" s="477"/>
      <c r="AB164" s="477"/>
      <c r="AC164" s="477"/>
      <c r="AD164" s="477"/>
      <c r="AE164" s="477"/>
      <c r="AF164" s="477"/>
      <c r="AG164" s="477"/>
      <c r="AH164" s="477"/>
      <c r="AI164" s="477"/>
      <c r="AJ164" s="477"/>
    </row>
    <row r="165" spans="2:36" ht="15" outlineLevel="1">
      <c r="B165" s="414">
        <v>159</v>
      </c>
      <c r="C165" s="442"/>
      <c r="D165" s="404"/>
      <c r="E165" s="405"/>
      <c r="F165" s="407"/>
      <c r="G165" s="499"/>
      <c r="H165" s="500"/>
      <c r="I165" s="492"/>
      <c r="J165" s="501"/>
      <c r="K165" s="498"/>
      <c r="L165" s="498"/>
      <c r="M165" s="407"/>
      <c r="N165" s="368"/>
      <c r="O165" s="368"/>
      <c r="P165" s="81"/>
      <c r="Q165" s="81"/>
      <c r="R165" s="442"/>
      <c r="S165" s="404"/>
      <c r="T165" s="405"/>
      <c r="U165" s="406"/>
      <c r="V165" s="407"/>
      <c r="W165" s="407"/>
      <c r="X165" s="435"/>
      <c r="Y165" s="436"/>
      <c r="AA165" s="477"/>
      <c r="AB165" s="477"/>
      <c r="AC165" s="477"/>
      <c r="AD165" s="477"/>
      <c r="AE165" s="477"/>
      <c r="AF165" s="477"/>
      <c r="AG165" s="477"/>
      <c r="AH165" s="477"/>
      <c r="AI165" s="477"/>
      <c r="AJ165" s="477"/>
    </row>
    <row r="166" spans="2:36" ht="15" outlineLevel="1">
      <c r="B166" s="414">
        <v>160</v>
      </c>
      <c r="C166" s="442"/>
      <c r="D166" s="404"/>
      <c r="E166" s="405"/>
      <c r="F166" s="407"/>
      <c r="G166" s="499"/>
      <c r="H166" s="500"/>
      <c r="I166" s="492"/>
      <c r="J166" s="501"/>
      <c r="K166" s="498"/>
      <c r="L166" s="498"/>
      <c r="M166" s="407"/>
      <c r="N166" s="368"/>
      <c r="O166" s="368"/>
      <c r="P166" s="81"/>
      <c r="Q166" s="81"/>
      <c r="R166" s="442"/>
      <c r="S166" s="404"/>
      <c r="T166" s="405"/>
      <c r="U166" s="406"/>
      <c r="V166" s="407"/>
      <c r="W166" s="407"/>
      <c r="X166" s="435"/>
      <c r="Y166" s="436"/>
      <c r="AA166" s="477"/>
      <c r="AB166" s="477"/>
      <c r="AC166" s="477"/>
      <c r="AD166" s="477"/>
      <c r="AE166" s="477"/>
      <c r="AF166" s="477"/>
      <c r="AG166" s="477"/>
      <c r="AH166" s="477"/>
      <c r="AI166" s="477"/>
      <c r="AJ166" s="477"/>
    </row>
    <row r="167" spans="2:36" ht="15" outlineLevel="1">
      <c r="B167" s="414">
        <v>161</v>
      </c>
      <c r="C167" s="442"/>
      <c r="D167" s="404"/>
      <c r="E167" s="405"/>
      <c r="F167" s="407"/>
      <c r="G167" s="499"/>
      <c r="H167" s="500"/>
      <c r="I167" s="492"/>
      <c r="J167" s="501"/>
      <c r="K167" s="498"/>
      <c r="L167" s="498"/>
      <c r="M167" s="407"/>
      <c r="N167" s="368"/>
      <c r="O167" s="368"/>
      <c r="P167" s="81"/>
      <c r="Q167" s="81"/>
      <c r="R167" s="442"/>
      <c r="S167" s="404"/>
      <c r="T167" s="405"/>
      <c r="U167" s="406"/>
      <c r="V167" s="407"/>
      <c r="W167" s="407"/>
      <c r="X167" s="435"/>
      <c r="Y167" s="436"/>
      <c r="AA167" s="477"/>
      <c r="AB167" s="477"/>
      <c r="AC167" s="477"/>
      <c r="AD167" s="477"/>
      <c r="AE167" s="477"/>
      <c r="AF167" s="477"/>
      <c r="AG167" s="477"/>
      <c r="AH167" s="477"/>
      <c r="AI167" s="477"/>
      <c r="AJ167" s="477"/>
    </row>
    <row r="168" spans="2:36" ht="15" outlineLevel="1">
      <c r="B168" s="414">
        <v>162</v>
      </c>
      <c r="C168" s="442"/>
      <c r="D168" s="404"/>
      <c r="E168" s="405"/>
      <c r="F168" s="407"/>
      <c r="G168" s="499"/>
      <c r="H168" s="500"/>
      <c r="I168" s="492"/>
      <c r="J168" s="501"/>
      <c r="K168" s="498"/>
      <c r="L168" s="498"/>
      <c r="M168" s="407"/>
      <c r="N168" s="368"/>
      <c r="O168" s="368"/>
      <c r="P168" s="81"/>
      <c r="Q168" s="81"/>
      <c r="R168" s="442"/>
      <c r="S168" s="404"/>
      <c r="T168" s="405"/>
      <c r="U168" s="406"/>
      <c r="V168" s="407"/>
      <c r="W168" s="407"/>
      <c r="X168" s="435"/>
      <c r="Y168" s="436"/>
      <c r="AA168" s="477"/>
      <c r="AB168" s="477"/>
      <c r="AC168" s="477"/>
      <c r="AD168" s="477"/>
      <c r="AE168" s="477"/>
      <c r="AF168" s="477"/>
      <c r="AG168" s="477"/>
      <c r="AH168" s="477"/>
      <c r="AI168" s="477"/>
      <c r="AJ168" s="477"/>
    </row>
    <row r="169" spans="2:36" ht="15" outlineLevel="1">
      <c r="B169" s="414">
        <v>163</v>
      </c>
      <c r="C169" s="442"/>
      <c r="D169" s="404"/>
      <c r="E169" s="405"/>
      <c r="F169" s="407"/>
      <c r="G169" s="499"/>
      <c r="H169" s="500"/>
      <c r="I169" s="492"/>
      <c r="J169" s="501"/>
      <c r="K169" s="498"/>
      <c r="L169" s="498"/>
      <c r="M169" s="407"/>
      <c r="N169" s="368"/>
      <c r="O169" s="368"/>
      <c r="P169" s="81"/>
      <c r="Q169" s="81"/>
      <c r="R169" s="442"/>
      <c r="S169" s="404"/>
      <c r="T169" s="405"/>
      <c r="U169" s="406"/>
      <c r="V169" s="407"/>
      <c r="W169" s="407"/>
      <c r="X169" s="435"/>
      <c r="Y169" s="436"/>
      <c r="AA169" s="477"/>
      <c r="AB169" s="477"/>
      <c r="AC169" s="477"/>
      <c r="AD169" s="477"/>
      <c r="AE169" s="477"/>
      <c r="AF169" s="477"/>
      <c r="AG169" s="477"/>
      <c r="AH169" s="477"/>
      <c r="AI169" s="477"/>
      <c r="AJ169" s="477"/>
    </row>
    <row r="170" spans="2:36" ht="15" outlineLevel="1">
      <c r="B170" s="414">
        <v>164</v>
      </c>
      <c r="C170" s="442"/>
      <c r="D170" s="404"/>
      <c r="E170" s="405"/>
      <c r="F170" s="407"/>
      <c r="G170" s="499"/>
      <c r="H170" s="500"/>
      <c r="I170" s="492"/>
      <c r="J170" s="501"/>
      <c r="K170" s="498"/>
      <c r="L170" s="498"/>
      <c r="M170" s="407"/>
      <c r="N170" s="368"/>
      <c r="O170" s="368"/>
      <c r="P170" s="81"/>
      <c r="Q170" s="81"/>
      <c r="R170" s="442"/>
      <c r="S170" s="404"/>
      <c r="T170" s="405"/>
      <c r="U170" s="406"/>
      <c r="V170" s="407"/>
      <c r="W170" s="407"/>
      <c r="X170" s="435"/>
      <c r="Y170" s="436"/>
      <c r="AA170" s="477"/>
      <c r="AB170" s="477"/>
      <c r="AC170" s="477"/>
      <c r="AD170" s="477"/>
      <c r="AE170" s="477"/>
      <c r="AF170" s="477"/>
      <c r="AG170" s="477"/>
      <c r="AH170" s="477"/>
      <c r="AI170" s="477"/>
      <c r="AJ170" s="477"/>
    </row>
    <row r="171" spans="2:36" ht="15" outlineLevel="1">
      <c r="B171" s="414">
        <v>165</v>
      </c>
      <c r="C171" s="442"/>
      <c r="D171" s="404"/>
      <c r="E171" s="405"/>
      <c r="F171" s="407"/>
      <c r="G171" s="499"/>
      <c r="H171" s="500"/>
      <c r="I171" s="492"/>
      <c r="J171" s="501"/>
      <c r="K171" s="498"/>
      <c r="L171" s="498"/>
      <c r="M171" s="407"/>
      <c r="N171" s="368"/>
      <c r="O171" s="368"/>
      <c r="P171" s="81"/>
      <c r="Q171" s="81"/>
      <c r="R171" s="442"/>
      <c r="S171" s="404"/>
      <c r="T171" s="405"/>
      <c r="U171" s="406"/>
      <c r="V171" s="407"/>
      <c r="W171" s="407"/>
      <c r="X171" s="435"/>
      <c r="Y171" s="436"/>
      <c r="AA171" s="477"/>
      <c r="AB171" s="477"/>
      <c r="AC171" s="477"/>
      <c r="AD171" s="477"/>
      <c r="AE171" s="477"/>
      <c r="AF171" s="477"/>
      <c r="AG171" s="477"/>
      <c r="AH171" s="477"/>
      <c r="AI171" s="477"/>
      <c r="AJ171" s="477"/>
    </row>
    <row r="172" spans="2:36" ht="15" outlineLevel="1">
      <c r="B172" s="414">
        <v>166</v>
      </c>
      <c r="C172" s="442"/>
      <c r="D172" s="404"/>
      <c r="E172" s="405"/>
      <c r="F172" s="407"/>
      <c r="G172" s="499"/>
      <c r="H172" s="500"/>
      <c r="I172" s="492"/>
      <c r="J172" s="501"/>
      <c r="K172" s="498"/>
      <c r="L172" s="498"/>
      <c r="M172" s="407"/>
      <c r="N172" s="368"/>
      <c r="O172" s="368"/>
      <c r="P172" s="81"/>
      <c r="Q172" s="81"/>
      <c r="R172" s="442"/>
      <c r="S172" s="404"/>
      <c r="T172" s="405"/>
      <c r="U172" s="406"/>
      <c r="V172" s="407"/>
      <c r="W172" s="407"/>
      <c r="X172" s="435"/>
      <c r="Y172" s="436"/>
      <c r="AA172" s="477"/>
      <c r="AB172" s="477"/>
      <c r="AC172" s="477"/>
      <c r="AD172" s="477"/>
      <c r="AE172" s="477"/>
      <c r="AF172" s="477"/>
      <c r="AG172" s="477"/>
      <c r="AH172" s="477"/>
      <c r="AI172" s="477"/>
      <c r="AJ172" s="477"/>
    </row>
    <row r="173" spans="2:36" ht="15" outlineLevel="1">
      <c r="B173" s="414">
        <v>167</v>
      </c>
      <c r="C173" s="442"/>
      <c r="D173" s="404"/>
      <c r="E173" s="405"/>
      <c r="F173" s="407"/>
      <c r="G173" s="499"/>
      <c r="H173" s="500"/>
      <c r="I173" s="492"/>
      <c r="J173" s="501"/>
      <c r="K173" s="498"/>
      <c r="L173" s="498"/>
      <c r="M173" s="407"/>
      <c r="N173" s="368"/>
      <c r="O173" s="368"/>
      <c r="P173" s="81"/>
      <c r="Q173" s="81"/>
      <c r="R173" s="442"/>
      <c r="S173" s="404"/>
      <c r="T173" s="405"/>
      <c r="U173" s="406"/>
      <c r="V173" s="407"/>
      <c r="W173" s="407"/>
      <c r="X173" s="435"/>
      <c r="Y173" s="436"/>
      <c r="AA173" s="477"/>
      <c r="AB173" s="477"/>
      <c r="AC173" s="477"/>
      <c r="AD173" s="477"/>
      <c r="AE173" s="477"/>
      <c r="AF173" s="477"/>
      <c r="AG173" s="477"/>
      <c r="AH173" s="477"/>
      <c r="AI173" s="477"/>
      <c r="AJ173" s="477"/>
    </row>
    <row r="174" spans="2:36" ht="15" outlineLevel="1">
      <c r="B174" s="414">
        <v>168</v>
      </c>
      <c r="C174" s="442"/>
      <c r="D174" s="404"/>
      <c r="E174" s="405"/>
      <c r="F174" s="407"/>
      <c r="G174" s="499"/>
      <c r="H174" s="500"/>
      <c r="I174" s="492"/>
      <c r="J174" s="501"/>
      <c r="K174" s="498"/>
      <c r="L174" s="498"/>
      <c r="M174" s="407"/>
      <c r="N174" s="368"/>
      <c r="O174" s="368"/>
      <c r="P174" s="81"/>
      <c r="Q174" s="81"/>
      <c r="R174" s="442"/>
      <c r="S174" s="404"/>
      <c r="T174" s="405"/>
      <c r="U174" s="406"/>
      <c r="V174" s="407"/>
      <c r="W174" s="407"/>
      <c r="X174" s="435"/>
      <c r="Y174" s="436"/>
      <c r="AA174" s="477"/>
      <c r="AB174" s="477"/>
      <c r="AC174" s="477"/>
      <c r="AD174" s="477"/>
      <c r="AE174" s="477"/>
      <c r="AF174" s="477"/>
      <c r="AG174" s="477"/>
      <c r="AH174" s="477"/>
      <c r="AI174" s="477"/>
      <c r="AJ174" s="477"/>
    </row>
    <row r="175" spans="2:36" ht="15" outlineLevel="1">
      <c r="B175" s="414">
        <v>169</v>
      </c>
      <c r="C175" s="442"/>
      <c r="D175" s="404"/>
      <c r="E175" s="405"/>
      <c r="F175" s="407"/>
      <c r="G175" s="499"/>
      <c r="H175" s="500"/>
      <c r="I175" s="492"/>
      <c r="J175" s="501"/>
      <c r="K175" s="498"/>
      <c r="L175" s="498"/>
      <c r="M175" s="407"/>
      <c r="N175" s="368"/>
      <c r="O175" s="368"/>
      <c r="P175" s="81"/>
      <c r="Q175" s="81"/>
      <c r="R175" s="442"/>
      <c r="S175" s="404"/>
      <c r="T175" s="405"/>
      <c r="U175" s="406"/>
      <c r="V175" s="407"/>
      <c r="W175" s="407"/>
      <c r="X175" s="435"/>
      <c r="Y175" s="436"/>
      <c r="AA175" s="477"/>
      <c r="AB175" s="477"/>
      <c r="AC175" s="477"/>
      <c r="AD175" s="477"/>
      <c r="AE175" s="477"/>
      <c r="AF175" s="477"/>
      <c r="AG175" s="477"/>
      <c r="AH175" s="477"/>
      <c r="AI175" s="477"/>
      <c r="AJ175" s="477"/>
    </row>
    <row r="176" spans="2:36" ht="15" outlineLevel="1">
      <c r="B176" s="414">
        <v>170</v>
      </c>
      <c r="C176" s="442"/>
      <c r="D176" s="404"/>
      <c r="E176" s="405"/>
      <c r="F176" s="407"/>
      <c r="G176" s="499"/>
      <c r="H176" s="500"/>
      <c r="I176" s="492"/>
      <c r="J176" s="501"/>
      <c r="K176" s="498"/>
      <c r="L176" s="498"/>
      <c r="M176" s="407"/>
      <c r="N176" s="368"/>
      <c r="O176" s="368"/>
      <c r="P176" s="81"/>
      <c r="Q176" s="81"/>
      <c r="R176" s="442"/>
      <c r="S176" s="404"/>
      <c r="T176" s="405"/>
      <c r="U176" s="406"/>
      <c r="V176" s="407"/>
      <c r="W176" s="407"/>
      <c r="X176" s="435"/>
      <c r="Y176" s="436"/>
      <c r="AA176" s="477"/>
      <c r="AB176" s="477"/>
      <c r="AC176" s="477"/>
      <c r="AD176" s="477"/>
      <c r="AE176" s="477"/>
      <c r="AF176" s="477"/>
      <c r="AG176" s="477"/>
      <c r="AH176" s="477"/>
      <c r="AI176" s="477"/>
      <c r="AJ176" s="477"/>
    </row>
    <row r="177" spans="2:36" ht="15" outlineLevel="1">
      <c r="B177" s="414">
        <v>171</v>
      </c>
      <c r="C177" s="442"/>
      <c r="D177" s="404"/>
      <c r="E177" s="405"/>
      <c r="F177" s="407"/>
      <c r="G177" s="499"/>
      <c r="H177" s="500"/>
      <c r="I177" s="492"/>
      <c r="J177" s="501"/>
      <c r="K177" s="498"/>
      <c r="L177" s="498"/>
      <c r="M177" s="407"/>
      <c r="N177" s="368"/>
      <c r="O177" s="368"/>
      <c r="P177" s="81"/>
      <c r="Q177" s="81"/>
      <c r="R177" s="442"/>
      <c r="S177" s="404"/>
      <c r="T177" s="405"/>
      <c r="U177" s="406"/>
      <c r="V177" s="407"/>
      <c r="W177" s="407"/>
      <c r="X177" s="435"/>
      <c r="Y177" s="436"/>
      <c r="AA177" s="477"/>
      <c r="AB177" s="477"/>
      <c r="AC177" s="477"/>
      <c r="AD177" s="477"/>
      <c r="AE177" s="477"/>
      <c r="AF177" s="477"/>
      <c r="AG177" s="477"/>
      <c r="AH177" s="477"/>
      <c r="AI177" s="477"/>
      <c r="AJ177" s="477"/>
    </row>
    <row r="178" spans="2:36" ht="15" outlineLevel="1">
      <c r="B178" s="414">
        <v>172</v>
      </c>
      <c r="C178" s="442"/>
      <c r="D178" s="404"/>
      <c r="E178" s="405"/>
      <c r="F178" s="407"/>
      <c r="G178" s="499"/>
      <c r="H178" s="500"/>
      <c r="I178" s="492"/>
      <c r="J178" s="501"/>
      <c r="K178" s="498"/>
      <c r="L178" s="498"/>
      <c r="M178" s="407"/>
      <c r="N178" s="368"/>
      <c r="O178" s="368"/>
      <c r="P178" s="81"/>
      <c r="Q178" s="81"/>
      <c r="R178" s="442"/>
      <c r="S178" s="404"/>
      <c r="T178" s="405"/>
      <c r="U178" s="406"/>
      <c r="V178" s="407"/>
      <c r="W178" s="407"/>
      <c r="X178" s="435"/>
      <c r="Y178" s="436"/>
      <c r="AA178" s="477"/>
      <c r="AB178" s="477"/>
      <c r="AC178" s="477"/>
      <c r="AD178" s="477"/>
      <c r="AE178" s="477"/>
      <c r="AF178" s="477"/>
      <c r="AG178" s="477"/>
      <c r="AH178" s="477"/>
      <c r="AI178" s="477"/>
      <c r="AJ178" s="477"/>
    </row>
    <row r="179" spans="2:36" ht="15" outlineLevel="1">
      <c r="B179" s="414">
        <v>173</v>
      </c>
      <c r="C179" s="442"/>
      <c r="D179" s="404"/>
      <c r="E179" s="405"/>
      <c r="F179" s="407"/>
      <c r="G179" s="499"/>
      <c r="H179" s="500"/>
      <c r="I179" s="492"/>
      <c r="J179" s="501"/>
      <c r="K179" s="498"/>
      <c r="L179" s="498"/>
      <c r="M179" s="407"/>
      <c r="N179" s="368"/>
      <c r="O179" s="368"/>
      <c r="P179" s="81"/>
      <c r="Q179" s="81"/>
      <c r="R179" s="442"/>
      <c r="S179" s="404"/>
      <c r="T179" s="405"/>
      <c r="U179" s="406"/>
      <c r="V179" s="407"/>
      <c r="W179" s="407"/>
      <c r="X179" s="435"/>
      <c r="Y179" s="436"/>
      <c r="AA179" s="477"/>
      <c r="AB179" s="477"/>
      <c r="AC179" s="477"/>
      <c r="AD179" s="477"/>
      <c r="AE179" s="477"/>
      <c r="AF179" s="477"/>
      <c r="AG179" s="477"/>
      <c r="AH179" s="477"/>
      <c r="AI179" s="477"/>
      <c r="AJ179" s="477"/>
    </row>
    <row r="180" spans="2:36" ht="15" outlineLevel="1">
      <c r="B180" s="414">
        <v>174</v>
      </c>
      <c r="C180" s="442"/>
      <c r="D180" s="404"/>
      <c r="E180" s="405"/>
      <c r="F180" s="407"/>
      <c r="G180" s="499"/>
      <c r="H180" s="500"/>
      <c r="I180" s="492"/>
      <c r="J180" s="501"/>
      <c r="K180" s="498"/>
      <c r="L180" s="498"/>
      <c r="M180" s="407"/>
      <c r="N180" s="368"/>
      <c r="O180" s="368"/>
      <c r="P180" s="81"/>
      <c r="Q180" s="81"/>
      <c r="R180" s="442"/>
      <c r="S180" s="404"/>
      <c r="T180" s="405"/>
      <c r="U180" s="406"/>
      <c r="V180" s="407"/>
      <c r="W180" s="407"/>
      <c r="X180" s="435"/>
      <c r="Y180" s="436"/>
      <c r="AA180" s="477"/>
      <c r="AB180" s="477"/>
      <c r="AC180" s="477"/>
      <c r="AD180" s="477"/>
      <c r="AE180" s="477"/>
      <c r="AF180" s="477"/>
      <c r="AG180" s="477"/>
      <c r="AH180" s="477"/>
      <c r="AI180" s="477"/>
      <c r="AJ180" s="477"/>
    </row>
    <row r="181" spans="2:36" ht="15" outlineLevel="1">
      <c r="B181" s="414">
        <v>175</v>
      </c>
      <c r="C181" s="442"/>
      <c r="D181" s="404"/>
      <c r="E181" s="405"/>
      <c r="F181" s="407"/>
      <c r="G181" s="499"/>
      <c r="H181" s="500"/>
      <c r="I181" s="492"/>
      <c r="J181" s="501"/>
      <c r="K181" s="498"/>
      <c r="L181" s="498"/>
      <c r="M181" s="407"/>
      <c r="N181" s="368"/>
      <c r="O181" s="368"/>
      <c r="P181" s="81"/>
      <c r="Q181" s="81"/>
      <c r="R181" s="442"/>
      <c r="S181" s="404"/>
      <c r="T181" s="405"/>
      <c r="U181" s="406"/>
      <c r="V181" s="407"/>
      <c r="W181" s="407"/>
      <c r="X181" s="435"/>
      <c r="Y181" s="436"/>
      <c r="AA181" s="477"/>
      <c r="AB181" s="477"/>
      <c r="AC181" s="477"/>
      <c r="AD181" s="477"/>
      <c r="AE181" s="477"/>
      <c r="AF181" s="477"/>
      <c r="AG181" s="477"/>
      <c r="AH181" s="477"/>
      <c r="AI181" s="477"/>
      <c r="AJ181" s="477"/>
    </row>
    <row r="182" spans="2:36" ht="15" outlineLevel="1">
      <c r="B182" s="414">
        <v>176</v>
      </c>
      <c r="C182" s="442"/>
      <c r="D182" s="404"/>
      <c r="E182" s="405"/>
      <c r="F182" s="407"/>
      <c r="G182" s="499"/>
      <c r="H182" s="500"/>
      <c r="I182" s="492"/>
      <c r="J182" s="501"/>
      <c r="K182" s="498"/>
      <c r="L182" s="498"/>
      <c r="M182" s="407"/>
      <c r="N182" s="368"/>
      <c r="O182" s="368"/>
      <c r="P182" s="81"/>
      <c r="Q182" s="81"/>
      <c r="R182" s="442"/>
      <c r="S182" s="404"/>
      <c r="T182" s="405"/>
      <c r="U182" s="406"/>
      <c r="V182" s="407"/>
      <c r="W182" s="407"/>
      <c r="X182" s="435"/>
      <c r="Y182" s="436"/>
      <c r="AA182" s="477"/>
      <c r="AB182" s="477"/>
      <c r="AC182" s="477"/>
      <c r="AD182" s="477"/>
      <c r="AE182" s="477"/>
      <c r="AF182" s="477"/>
      <c r="AG182" s="477"/>
      <c r="AH182" s="477"/>
      <c r="AI182" s="477"/>
      <c r="AJ182" s="477"/>
    </row>
    <row r="183" spans="2:36" ht="15" outlineLevel="1">
      <c r="B183" s="414">
        <v>177</v>
      </c>
      <c r="C183" s="442"/>
      <c r="D183" s="404"/>
      <c r="E183" s="405"/>
      <c r="F183" s="407"/>
      <c r="G183" s="499"/>
      <c r="H183" s="500"/>
      <c r="I183" s="492"/>
      <c r="J183" s="501"/>
      <c r="K183" s="498"/>
      <c r="L183" s="498"/>
      <c r="M183" s="407"/>
      <c r="N183" s="368"/>
      <c r="O183" s="368"/>
      <c r="P183" s="81"/>
      <c r="Q183" s="81"/>
      <c r="R183" s="442"/>
      <c r="S183" s="404"/>
      <c r="T183" s="405"/>
      <c r="U183" s="406"/>
      <c r="V183" s="407"/>
      <c r="W183" s="407"/>
      <c r="X183" s="435"/>
      <c r="Y183" s="436"/>
      <c r="AA183" s="477"/>
      <c r="AB183" s="477"/>
      <c r="AC183" s="477"/>
      <c r="AD183" s="477"/>
      <c r="AE183" s="477"/>
      <c r="AF183" s="477"/>
      <c r="AG183" s="477"/>
      <c r="AH183" s="477"/>
      <c r="AI183" s="477"/>
      <c r="AJ183" s="477"/>
    </row>
    <row r="184" spans="2:36" ht="15" outlineLevel="1">
      <c r="B184" s="414">
        <v>178</v>
      </c>
      <c r="C184" s="442"/>
      <c r="D184" s="404"/>
      <c r="E184" s="405"/>
      <c r="F184" s="407"/>
      <c r="G184" s="499"/>
      <c r="H184" s="500"/>
      <c r="I184" s="492"/>
      <c r="J184" s="501"/>
      <c r="K184" s="498"/>
      <c r="L184" s="498"/>
      <c r="M184" s="407"/>
      <c r="N184" s="368"/>
      <c r="O184" s="368"/>
      <c r="P184" s="81"/>
      <c r="Q184" s="81"/>
      <c r="R184" s="442"/>
      <c r="S184" s="404"/>
      <c r="T184" s="405"/>
      <c r="U184" s="406"/>
      <c r="V184" s="407"/>
      <c r="W184" s="407"/>
      <c r="X184" s="435"/>
      <c r="Y184" s="436"/>
      <c r="AA184" s="477"/>
      <c r="AB184" s="477"/>
      <c r="AC184" s="477"/>
      <c r="AD184" s="477"/>
      <c r="AE184" s="477"/>
      <c r="AF184" s="477"/>
      <c r="AG184" s="477"/>
      <c r="AH184" s="477"/>
      <c r="AI184" s="477"/>
      <c r="AJ184" s="477"/>
    </row>
    <row r="185" spans="2:36" ht="15" outlineLevel="1">
      <c r="B185" s="414">
        <v>179</v>
      </c>
      <c r="C185" s="442"/>
      <c r="D185" s="404"/>
      <c r="E185" s="405"/>
      <c r="F185" s="407"/>
      <c r="G185" s="499"/>
      <c r="H185" s="500"/>
      <c r="I185" s="492"/>
      <c r="J185" s="501"/>
      <c r="K185" s="498"/>
      <c r="L185" s="498"/>
      <c r="M185" s="407"/>
      <c r="N185" s="368"/>
      <c r="O185" s="368"/>
      <c r="P185" s="81"/>
      <c r="Q185" s="81"/>
      <c r="R185" s="442"/>
      <c r="S185" s="404"/>
      <c r="T185" s="405"/>
      <c r="U185" s="406"/>
      <c r="V185" s="407"/>
      <c r="W185" s="407"/>
      <c r="X185" s="435"/>
      <c r="Y185" s="436"/>
      <c r="AA185" s="477"/>
      <c r="AB185" s="477"/>
      <c r="AC185" s="477"/>
      <c r="AD185" s="477"/>
      <c r="AE185" s="477"/>
      <c r="AF185" s="477"/>
      <c r="AG185" s="477"/>
      <c r="AH185" s="477"/>
      <c r="AI185" s="477"/>
      <c r="AJ185" s="477"/>
    </row>
    <row r="186" spans="2:36" ht="15" outlineLevel="1">
      <c r="B186" s="414">
        <v>180</v>
      </c>
      <c r="C186" s="442"/>
      <c r="D186" s="404"/>
      <c r="E186" s="405"/>
      <c r="F186" s="407"/>
      <c r="G186" s="499"/>
      <c r="H186" s="500"/>
      <c r="I186" s="492"/>
      <c r="J186" s="501"/>
      <c r="K186" s="498"/>
      <c r="L186" s="498"/>
      <c r="M186" s="407"/>
      <c r="N186" s="368"/>
      <c r="O186" s="368"/>
      <c r="P186" s="81"/>
      <c r="Q186" s="81"/>
      <c r="R186" s="442"/>
      <c r="S186" s="404"/>
      <c r="T186" s="405"/>
      <c r="U186" s="406"/>
      <c r="V186" s="407"/>
      <c r="W186" s="407"/>
      <c r="X186" s="435"/>
      <c r="Y186" s="436"/>
      <c r="AA186" s="477"/>
      <c r="AB186" s="477"/>
      <c r="AC186" s="477"/>
      <c r="AD186" s="477"/>
      <c r="AE186" s="477"/>
      <c r="AF186" s="477"/>
      <c r="AG186" s="477"/>
      <c r="AH186" s="477"/>
      <c r="AI186" s="477"/>
      <c r="AJ186" s="477"/>
    </row>
    <row r="187" spans="2:36" ht="15" outlineLevel="1">
      <c r="B187" s="414">
        <v>181</v>
      </c>
      <c r="C187" s="442"/>
      <c r="D187" s="404"/>
      <c r="E187" s="405"/>
      <c r="F187" s="407"/>
      <c r="G187" s="499"/>
      <c r="H187" s="500"/>
      <c r="I187" s="492"/>
      <c r="J187" s="501"/>
      <c r="K187" s="498"/>
      <c r="L187" s="498"/>
      <c r="M187" s="407"/>
      <c r="N187" s="368"/>
      <c r="O187" s="368"/>
      <c r="P187" s="81"/>
      <c r="Q187" s="81"/>
      <c r="R187" s="442"/>
      <c r="S187" s="404"/>
      <c r="T187" s="405"/>
      <c r="U187" s="406"/>
      <c r="V187" s="407"/>
      <c r="W187" s="407"/>
      <c r="X187" s="435"/>
      <c r="Y187" s="436"/>
      <c r="AA187" s="477"/>
      <c r="AB187" s="477"/>
      <c r="AC187" s="477"/>
      <c r="AD187" s="477"/>
      <c r="AE187" s="477"/>
      <c r="AF187" s="477"/>
      <c r="AG187" s="477"/>
      <c r="AH187" s="477"/>
      <c r="AI187" s="477"/>
      <c r="AJ187" s="477"/>
    </row>
    <row r="188" spans="2:36" ht="15" outlineLevel="1">
      <c r="B188" s="414">
        <v>182</v>
      </c>
      <c r="C188" s="442"/>
      <c r="D188" s="404"/>
      <c r="E188" s="405"/>
      <c r="F188" s="407"/>
      <c r="G188" s="499"/>
      <c r="H188" s="500"/>
      <c r="I188" s="492"/>
      <c r="J188" s="501"/>
      <c r="K188" s="498"/>
      <c r="L188" s="498"/>
      <c r="M188" s="407"/>
      <c r="N188" s="368"/>
      <c r="O188" s="368"/>
      <c r="P188" s="81"/>
      <c r="Q188" s="81"/>
      <c r="R188" s="442"/>
      <c r="S188" s="404"/>
      <c r="T188" s="405"/>
      <c r="U188" s="406"/>
      <c r="V188" s="407"/>
      <c r="W188" s="407"/>
      <c r="X188" s="435"/>
      <c r="Y188" s="436"/>
      <c r="AA188" s="477"/>
      <c r="AB188" s="477"/>
      <c r="AC188" s="477"/>
      <c r="AD188" s="477"/>
      <c r="AE188" s="477"/>
      <c r="AF188" s="477"/>
      <c r="AG188" s="477"/>
      <c r="AH188" s="477"/>
      <c r="AI188" s="477"/>
      <c r="AJ188" s="477"/>
    </row>
    <row r="189" spans="2:36" ht="15" outlineLevel="1">
      <c r="B189" s="414">
        <v>183</v>
      </c>
      <c r="C189" s="442"/>
      <c r="D189" s="404"/>
      <c r="E189" s="405"/>
      <c r="F189" s="407"/>
      <c r="G189" s="499"/>
      <c r="H189" s="500"/>
      <c r="I189" s="492"/>
      <c r="J189" s="501"/>
      <c r="K189" s="498"/>
      <c r="L189" s="498"/>
      <c r="M189" s="407"/>
      <c r="N189" s="368"/>
      <c r="O189" s="368"/>
      <c r="P189" s="81"/>
      <c r="Q189" s="81"/>
      <c r="R189" s="442"/>
      <c r="S189" s="404"/>
      <c r="T189" s="405"/>
      <c r="U189" s="406"/>
      <c r="V189" s="407"/>
      <c r="W189" s="407"/>
      <c r="X189" s="435"/>
      <c r="Y189" s="436"/>
      <c r="AA189" s="477"/>
      <c r="AB189" s="477"/>
      <c r="AC189" s="477"/>
      <c r="AD189" s="477"/>
      <c r="AE189" s="477"/>
      <c r="AF189" s="477"/>
      <c r="AG189" s="477"/>
      <c r="AH189" s="477"/>
      <c r="AI189" s="477"/>
      <c r="AJ189" s="477"/>
    </row>
    <row r="190" spans="2:36" ht="15" outlineLevel="1">
      <c r="B190" s="414">
        <v>184</v>
      </c>
      <c r="C190" s="442"/>
      <c r="D190" s="404"/>
      <c r="E190" s="405"/>
      <c r="F190" s="407"/>
      <c r="G190" s="499"/>
      <c r="H190" s="500"/>
      <c r="I190" s="492"/>
      <c r="J190" s="501"/>
      <c r="K190" s="498"/>
      <c r="L190" s="498"/>
      <c r="M190" s="407"/>
      <c r="N190" s="368"/>
      <c r="O190" s="368"/>
      <c r="P190" s="81"/>
      <c r="Q190" s="81"/>
      <c r="R190" s="442"/>
      <c r="S190" s="404"/>
      <c r="T190" s="405"/>
      <c r="U190" s="406"/>
      <c r="V190" s="407"/>
      <c r="W190" s="407"/>
      <c r="X190" s="435"/>
      <c r="Y190" s="436"/>
      <c r="AA190" s="477"/>
      <c r="AB190" s="477"/>
      <c r="AC190" s="477"/>
      <c r="AD190" s="477"/>
      <c r="AE190" s="477"/>
      <c r="AF190" s="477"/>
      <c r="AG190" s="477"/>
      <c r="AH190" s="477"/>
      <c r="AI190" s="477"/>
      <c r="AJ190" s="477"/>
    </row>
    <row r="191" spans="2:36" ht="15" outlineLevel="1">
      <c r="B191" s="414">
        <v>185</v>
      </c>
      <c r="C191" s="442"/>
      <c r="D191" s="404"/>
      <c r="E191" s="405"/>
      <c r="F191" s="407"/>
      <c r="G191" s="499"/>
      <c r="H191" s="500"/>
      <c r="I191" s="492"/>
      <c r="J191" s="501"/>
      <c r="K191" s="498"/>
      <c r="L191" s="498"/>
      <c r="M191" s="407"/>
      <c r="N191" s="368"/>
      <c r="O191" s="368"/>
      <c r="P191" s="81"/>
      <c r="Q191" s="81"/>
      <c r="R191" s="442"/>
      <c r="S191" s="404"/>
      <c r="T191" s="405"/>
      <c r="U191" s="406"/>
      <c r="V191" s="407"/>
      <c r="W191" s="407"/>
      <c r="X191" s="435"/>
      <c r="Y191" s="436"/>
      <c r="AA191" s="477"/>
      <c r="AB191" s="477"/>
      <c r="AC191" s="477"/>
      <c r="AD191" s="477"/>
      <c r="AE191" s="477"/>
      <c r="AF191" s="477"/>
      <c r="AG191" s="477"/>
      <c r="AH191" s="477"/>
      <c r="AI191" s="477"/>
      <c r="AJ191" s="477"/>
    </row>
    <row r="192" spans="2:36" ht="15" outlineLevel="1">
      <c r="B192" s="414">
        <v>186</v>
      </c>
      <c r="C192" s="442"/>
      <c r="D192" s="404"/>
      <c r="E192" s="405"/>
      <c r="F192" s="407"/>
      <c r="G192" s="499"/>
      <c r="H192" s="500"/>
      <c r="I192" s="492"/>
      <c r="J192" s="501"/>
      <c r="K192" s="498"/>
      <c r="L192" s="498"/>
      <c r="M192" s="407"/>
      <c r="N192" s="368"/>
      <c r="O192" s="368"/>
      <c r="P192" s="81"/>
      <c r="Q192" s="81"/>
      <c r="R192" s="442"/>
      <c r="S192" s="404"/>
      <c r="T192" s="405"/>
      <c r="U192" s="406"/>
      <c r="V192" s="407"/>
      <c r="W192" s="407"/>
      <c r="X192" s="435"/>
      <c r="Y192" s="436"/>
      <c r="AA192" s="477"/>
      <c r="AB192" s="477"/>
      <c r="AC192" s="477"/>
      <c r="AD192" s="477"/>
      <c r="AE192" s="477"/>
      <c r="AF192" s="477"/>
      <c r="AG192" s="477"/>
      <c r="AH192" s="477"/>
      <c r="AI192" s="477"/>
      <c r="AJ192" s="477"/>
    </row>
    <row r="193" spans="2:36" ht="15" outlineLevel="1">
      <c r="B193" s="414">
        <v>187</v>
      </c>
      <c r="C193" s="442"/>
      <c r="D193" s="404"/>
      <c r="E193" s="405"/>
      <c r="F193" s="407"/>
      <c r="G193" s="499"/>
      <c r="H193" s="500"/>
      <c r="I193" s="492"/>
      <c r="J193" s="501"/>
      <c r="K193" s="498"/>
      <c r="L193" s="498"/>
      <c r="M193" s="407"/>
      <c r="N193" s="368"/>
      <c r="O193" s="368"/>
      <c r="P193" s="81"/>
      <c r="Q193" s="81"/>
      <c r="R193" s="442"/>
      <c r="S193" s="404"/>
      <c r="T193" s="405"/>
      <c r="U193" s="406"/>
      <c r="V193" s="407"/>
      <c r="W193" s="407"/>
      <c r="X193" s="435"/>
      <c r="Y193" s="436"/>
      <c r="AA193" s="477"/>
      <c r="AB193" s="477"/>
      <c r="AC193" s="477"/>
      <c r="AD193" s="477"/>
      <c r="AE193" s="477"/>
      <c r="AF193" s="477"/>
      <c r="AG193" s="477"/>
      <c r="AH193" s="477"/>
      <c r="AI193" s="477"/>
      <c r="AJ193" s="477"/>
    </row>
    <row r="194" spans="2:36" ht="15" outlineLevel="1">
      <c r="B194" s="414">
        <v>188</v>
      </c>
      <c r="C194" s="442"/>
      <c r="D194" s="404"/>
      <c r="E194" s="405"/>
      <c r="F194" s="407"/>
      <c r="G194" s="499"/>
      <c r="H194" s="500"/>
      <c r="I194" s="492"/>
      <c r="J194" s="501"/>
      <c r="K194" s="498"/>
      <c r="L194" s="498"/>
      <c r="M194" s="407"/>
      <c r="N194" s="368"/>
      <c r="O194" s="368"/>
      <c r="P194" s="81"/>
      <c r="Q194" s="81"/>
      <c r="R194" s="442"/>
      <c r="S194" s="404"/>
      <c r="T194" s="405"/>
      <c r="U194" s="406"/>
      <c r="V194" s="407"/>
      <c r="W194" s="407"/>
      <c r="X194" s="435"/>
      <c r="Y194" s="436"/>
      <c r="AA194" s="477"/>
      <c r="AB194" s="477"/>
      <c r="AC194" s="477"/>
      <c r="AD194" s="477"/>
      <c r="AE194" s="477"/>
      <c r="AF194" s="477"/>
      <c r="AG194" s="477"/>
      <c r="AH194" s="477"/>
      <c r="AI194" s="477"/>
      <c r="AJ194" s="477"/>
    </row>
    <row r="195" spans="2:36" ht="15" outlineLevel="1">
      <c r="B195" s="414">
        <v>189</v>
      </c>
      <c r="C195" s="442"/>
      <c r="D195" s="404"/>
      <c r="E195" s="405"/>
      <c r="F195" s="407"/>
      <c r="G195" s="499"/>
      <c r="H195" s="500"/>
      <c r="I195" s="492"/>
      <c r="J195" s="501"/>
      <c r="K195" s="498"/>
      <c r="L195" s="498"/>
      <c r="M195" s="407"/>
      <c r="N195" s="368"/>
      <c r="O195" s="368"/>
      <c r="P195" s="81"/>
      <c r="Q195" s="81"/>
      <c r="R195" s="442"/>
      <c r="S195" s="404"/>
      <c r="T195" s="405"/>
      <c r="U195" s="406"/>
      <c r="V195" s="407"/>
      <c r="W195" s="407"/>
      <c r="X195" s="435"/>
      <c r="Y195" s="436"/>
      <c r="AA195" s="477"/>
      <c r="AB195" s="477"/>
      <c r="AC195" s="477"/>
      <c r="AD195" s="477"/>
      <c r="AE195" s="477"/>
      <c r="AF195" s="477"/>
      <c r="AG195" s="477"/>
      <c r="AH195" s="477"/>
      <c r="AI195" s="477"/>
      <c r="AJ195" s="477"/>
    </row>
    <row r="196" spans="2:36" ht="15" outlineLevel="1">
      <c r="B196" s="414">
        <v>190</v>
      </c>
      <c r="C196" s="442"/>
      <c r="D196" s="404"/>
      <c r="E196" s="405"/>
      <c r="F196" s="407"/>
      <c r="G196" s="499"/>
      <c r="H196" s="500"/>
      <c r="I196" s="492"/>
      <c r="J196" s="501"/>
      <c r="K196" s="498"/>
      <c r="L196" s="498"/>
      <c r="M196" s="407"/>
      <c r="N196" s="368"/>
      <c r="O196" s="368"/>
      <c r="P196" s="81"/>
      <c r="Q196" s="81"/>
      <c r="R196" s="442"/>
      <c r="S196" s="404"/>
      <c r="T196" s="405"/>
      <c r="U196" s="406"/>
      <c r="V196" s="407"/>
      <c r="W196" s="407"/>
      <c r="X196" s="435"/>
      <c r="Y196" s="436"/>
      <c r="AA196" s="477"/>
      <c r="AB196" s="477"/>
      <c r="AC196" s="477"/>
      <c r="AD196" s="477"/>
      <c r="AE196" s="477"/>
      <c r="AF196" s="477"/>
      <c r="AG196" s="477"/>
      <c r="AH196" s="477"/>
      <c r="AI196" s="477"/>
      <c r="AJ196" s="477"/>
    </row>
    <row r="197" spans="2:36" ht="15" outlineLevel="1">
      <c r="B197" s="414">
        <v>191</v>
      </c>
      <c r="C197" s="442"/>
      <c r="D197" s="404"/>
      <c r="E197" s="405"/>
      <c r="F197" s="407"/>
      <c r="G197" s="499"/>
      <c r="H197" s="500"/>
      <c r="I197" s="492"/>
      <c r="J197" s="501"/>
      <c r="K197" s="498"/>
      <c r="L197" s="498"/>
      <c r="M197" s="407"/>
      <c r="N197" s="368"/>
      <c r="O197" s="368"/>
      <c r="P197" s="81"/>
      <c r="Q197" s="81"/>
      <c r="R197" s="442"/>
      <c r="S197" s="404"/>
      <c r="T197" s="405"/>
      <c r="U197" s="406"/>
      <c r="V197" s="407"/>
      <c r="W197" s="407"/>
      <c r="X197" s="435"/>
      <c r="Y197" s="436"/>
      <c r="AA197" s="477"/>
      <c r="AB197" s="477"/>
      <c r="AC197" s="477"/>
      <c r="AD197" s="477"/>
      <c r="AE197" s="477"/>
      <c r="AF197" s="477"/>
      <c r="AG197" s="477"/>
      <c r="AH197" s="477"/>
      <c r="AI197" s="477"/>
      <c r="AJ197" s="477"/>
    </row>
    <row r="198" spans="2:36" ht="15" outlineLevel="1">
      <c r="B198" s="414">
        <v>192</v>
      </c>
      <c r="C198" s="442"/>
      <c r="D198" s="404"/>
      <c r="E198" s="405"/>
      <c r="F198" s="407"/>
      <c r="G198" s="499"/>
      <c r="H198" s="500"/>
      <c r="I198" s="492"/>
      <c r="J198" s="501"/>
      <c r="K198" s="498"/>
      <c r="L198" s="498"/>
      <c r="M198" s="407"/>
      <c r="N198" s="368"/>
      <c r="O198" s="368"/>
      <c r="P198" s="81"/>
      <c r="Q198" s="81"/>
      <c r="R198" s="442"/>
      <c r="S198" s="404"/>
      <c r="T198" s="405"/>
      <c r="U198" s="406"/>
      <c r="V198" s="407"/>
      <c r="W198" s="407"/>
      <c r="X198" s="435"/>
      <c r="Y198" s="436"/>
      <c r="AA198" s="477"/>
      <c r="AB198" s="477"/>
      <c r="AC198" s="477"/>
      <c r="AD198" s="477"/>
      <c r="AE198" s="477"/>
      <c r="AF198" s="477"/>
      <c r="AG198" s="477"/>
      <c r="AH198" s="477"/>
      <c r="AI198" s="477"/>
      <c r="AJ198" s="477"/>
    </row>
    <row r="199" spans="2:36" ht="15" outlineLevel="1">
      <c r="B199" s="414">
        <v>193</v>
      </c>
      <c r="C199" s="442"/>
      <c r="D199" s="404"/>
      <c r="E199" s="405"/>
      <c r="F199" s="407"/>
      <c r="G199" s="499"/>
      <c r="H199" s="500"/>
      <c r="I199" s="492"/>
      <c r="J199" s="501"/>
      <c r="K199" s="498"/>
      <c r="L199" s="498"/>
      <c r="M199" s="407"/>
      <c r="N199" s="368"/>
      <c r="O199" s="368"/>
      <c r="P199" s="81"/>
      <c r="Q199" s="81"/>
      <c r="R199" s="442"/>
      <c r="S199" s="404"/>
      <c r="T199" s="405"/>
      <c r="U199" s="406"/>
      <c r="V199" s="407"/>
      <c r="W199" s="407"/>
      <c r="X199" s="435"/>
      <c r="Y199" s="436"/>
      <c r="AA199" s="477"/>
      <c r="AB199" s="477"/>
      <c r="AC199" s="477"/>
      <c r="AD199" s="477"/>
      <c r="AE199" s="477"/>
      <c r="AF199" s="477"/>
      <c r="AG199" s="477"/>
      <c r="AH199" s="477"/>
      <c r="AI199" s="477"/>
      <c r="AJ199" s="477"/>
    </row>
    <row r="200" spans="2:36" ht="15" outlineLevel="1">
      <c r="B200" s="414">
        <v>194</v>
      </c>
      <c r="C200" s="442"/>
      <c r="D200" s="404"/>
      <c r="E200" s="405"/>
      <c r="F200" s="407"/>
      <c r="G200" s="499"/>
      <c r="H200" s="500"/>
      <c r="I200" s="492"/>
      <c r="J200" s="501"/>
      <c r="K200" s="498"/>
      <c r="L200" s="498"/>
      <c r="M200" s="407"/>
      <c r="N200" s="368"/>
      <c r="O200" s="368"/>
      <c r="P200" s="81"/>
      <c r="Q200" s="81"/>
      <c r="R200" s="442"/>
      <c r="S200" s="404"/>
      <c r="T200" s="405"/>
      <c r="U200" s="406"/>
      <c r="V200" s="407"/>
      <c r="W200" s="407"/>
      <c r="X200" s="435"/>
      <c r="Y200" s="436"/>
      <c r="AA200" s="477"/>
      <c r="AB200" s="477"/>
      <c r="AC200" s="477"/>
      <c r="AD200" s="477"/>
      <c r="AE200" s="477"/>
      <c r="AF200" s="477"/>
      <c r="AG200" s="477"/>
      <c r="AH200" s="477"/>
      <c r="AI200" s="477"/>
      <c r="AJ200" s="477"/>
    </row>
    <row r="201" spans="2:36" ht="15" outlineLevel="1">
      <c r="B201" s="414">
        <v>195</v>
      </c>
      <c r="C201" s="442"/>
      <c r="D201" s="404"/>
      <c r="E201" s="405"/>
      <c r="F201" s="407"/>
      <c r="G201" s="499"/>
      <c r="H201" s="500"/>
      <c r="I201" s="492"/>
      <c r="J201" s="501"/>
      <c r="K201" s="498"/>
      <c r="L201" s="498"/>
      <c r="M201" s="407"/>
      <c r="N201" s="368"/>
      <c r="O201" s="368"/>
      <c r="P201" s="81"/>
      <c r="Q201" s="81"/>
      <c r="R201" s="442"/>
      <c r="S201" s="404"/>
      <c r="T201" s="405"/>
      <c r="U201" s="406"/>
      <c r="V201" s="407"/>
      <c r="W201" s="407"/>
      <c r="X201" s="435"/>
      <c r="Y201" s="436"/>
      <c r="AA201" s="477"/>
      <c r="AB201" s="477"/>
      <c r="AC201" s="477"/>
      <c r="AD201" s="477"/>
      <c r="AE201" s="477"/>
      <c r="AF201" s="477"/>
      <c r="AG201" s="477"/>
      <c r="AH201" s="477"/>
      <c r="AI201" s="477"/>
      <c r="AJ201" s="477"/>
    </row>
    <row r="202" spans="2:36" ht="15" outlineLevel="1">
      <c r="B202" s="414">
        <v>196</v>
      </c>
      <c r="C202" s="442"/>
      <c r="D202" s="404"/>
      <c r="E202" s="405"/>
      <c r="F202" s="407"/>
      <c r="G202" s="499"/>
      <c r="H202" s="500"/>
      <c r="I202" s="492"/>
      <c r="J202" s="501"/>
      <c r="K202" s="498"/>
      <c r="L202" s="498"/>
      <c r="M202" s="407"/>
      <c r="N202" s="368"/>
      <c r="O202" s="368"/>
      <c r="P202" s="81"/>
      <c r="Q202" s="81"/>
      <c r="R202" s="442"/>
      <c r="S202" s="404"/>
      <c r="T202" s="405"/>
      <c r="U202" s="406"/>
      <c r="V202" s="407"/>
      <c r="W202" s="407"/>
      <c r="X202" s="435"/>
      <c r="Y202" s="436"/>
      <c r="AA202" s="477"/>
      <c r="AB202" s="477"/>
      <c r="AC202" s="477"/>
      <c r="AD202" s="477"/>
      <c r="AE202" s="477"/>
      <c r="AF202" s="477"/>
      <c r="AG202" s="477"/>
      <c r="AH202" s="477"/>
      <c r="AI202" s="477"/>
      <c r="AJ202" s="477"/>
    </row>
    <row r="203" spans="2:36" ht="15" outlineLevel="1">
      <c r="B203" s="414">
        <v>197</v>
      </c>
      <c r="C203" s="442"/>
      <c r="D203" s="404"/>
      <c r="E203" s="405"/>
      <c r="F203" s="407"/>
      <c r="G203" s="499"/>
      <c r="H203" s="500"/>
      <c r="I203" s="492"/>
      <c r="J203" s="501"/>
      <c r="K203" s="498"/>
      <c r="L203" s="498"/>
      <c r="M203" s="407"/>
      <c r="N203" s="368"/>
      <c r="O203" s="368"/>
      <c r="P203" s="81"/>
      <c r="Q203" s="81"/>
      <c r="R203" s="442"/>
      <c r="S203" s="404"/>
      <c r="T203" s="405"/>
      <c r="U203" s="406"/>
      <c r="V203" s="407"/>
      <c r="W203" s="407"/>
      <c r="X203" s="435"/>
      <c r="Y203" s="436"/>
      <c r="AA203" s="477"/>
      <c r="AB203" s="477"/>
      <c r="AC203" s="477"/>
      <c r="AD203" s="477"/>
      <c r="AE203" s="477"/>
      <c r="AF203" s="477"/>
      <c r="AG203" s="477"/>
      <c r="AH203" s="477"/>
      <c r="AI203" s="477"/>
      <c r="AJ203" s="477"/>
    </row>
    <row r="204" spans="2:36" ht="15" outlineLevel="1">
      <c r="B204" s="414">
        <v>198</v>
      </c>
      <c r="C204" s="442"/>
      <c r="D204" s="404"/>
      <c r="E204" s="405"/>
      <c r="F204" s="407"/>
      <c r="G204" s="499"/>
      <c r="H204" s="500"/>
      <c r="I204" s="492"/>
      <c r="J204" s="501"/>
      <c r="K204" s="498"/>
      <c r="L204" s="498"/>
      <c r="M204" s="407"/>
      <c r="N204" s="368"/>
      <c r="O204" s="368"/>
      <c r="P204" s="81"/>
      <c r="Q204" s="81"/>
      <c r="R204" s="442"/>
      <c r="S204" s="404"/>
      <c r="T204" s="405"/>
      <c r="U204" s="406"/>
      <c r="V204" s="407"/>
      <c r="W204" s="407"/>
      <c r="X204" s="435"/>
      <c r="Y204" s="436"/>
      <c r="AA204" s="477"/>
      <c r="AB204" s="477"/>
      <c r="AC204" s="477"/>
      <c r="AD204" s="477"/>
      <c r="AE204" s="477"/>
      <c r="AF204" s="477"/>
      <c r="AG204" s="477"/>
      <c r="AH204" s="477"/>
      <c r="AI204" s="477"/>
      <c r="AJ204" s="477"/>
    </row>
    <row r="205" spans="2:36" ht="15" outlineLevel="1">
      <c r="B205" s="414">
        <v>199</v>
      </c>
      <c r="C205" s="442"/>
      <c r="D205" s="404"/>
      <c r="E205" s="405"/>
      <c r="F205" s="407"/>
      <c r="G205" s="499"/>
      <c r="H205" s="500"/>
      <c r="I205" s="492"/>
      <c r="J205" s="501"/>
      <c r="K205" s="498"/>
      <c r="L205" s="498"/>
      <c r="M205" s="407"/>
      <c r="N205" s="368"/>
      <c r="O205" s="368"/>
      <c r="P205" s="81"/>
      <c r="Q205" s="81"/>
      <c r="R205" s="442"/>
      <c r="S205" s="404"/>
      <c r="T205" s="405"/>
      <c r="U205" s="406"/>
      <c r="V205" s="407"/>
      <c r="W205" s="407"/>
      <c r="X205" s="435"/>
      <c r="Y205" s="436"/>
      <c r="AA205" s="477"/>
      <c r="AB205" s="477"/>
      <c r="AC205" s="477"/>
      <c r="AD205" s="477"/>
      <c r="AE205" s="477"/>
      <c r="AF205" s="477"/>
      <c r="AG205" s="477"/>
      <c r="AH205" s="477"/>
      <c r="AI205" s="477"/>
      <c r="AJ205" s="477"/>
    </row>
    <row r="206" spans="2:36" ht="15" outlineLevel="1">
      <c r="B206" s="414">
        <v>200</v>
      </c>
      <c r="C206" s="442"/>
      <c r="D206" s="404"/>
      <c r="E206" s="405"/>
      <c r="F206" s="407"/>
      <c r="G206" s="499"/>
      <c r="H206" s="500"/>
      <c r="I206" s="492"/>
      <c r="J206" s="501"/>
      <c r="K206" s="498"/>
      <c r="L206" s="498"/>
      <c r="M206" s="407"/>
      <c r="N206" s="368"/>
      <c r="O206" s="368"/>
      <c r="P206" s="81"/>
      <c r="Q206" s="81"/>
      <c r="R206" s="442"/>
      <c r="S206" s="404"/>
      <c r="T206" s="405"/>
      <c r="U206" s="406"/>
      <c r="V206" s="407"/>
      <c r="W206" s="407"/>
      <c r="X206" s="435"/>
      <c r="Y206" s="436"/>
      <c r="AA206" s="477"/>
      <c r="AB206" s="477"/>
      <c r="AC206" s="477"/>
      <c r="AD206" s="477"/>
      <c r="AE206" s="477"/>
      <c r="AF206" s="477"/>
      <c r="AG206" s="477"/>
      <c r="AH206" s="477"/>
      <c r="AI206" s="477"/>
      <c r="AJ206" s="477"/>
    </row>
    <row r="207" spans="2:36" ht="15" outlineLevel="1">
      <c r="B207" s="414">
        <v>201</v>
      </c>
      <c r="C207" s="442"/>
      <c r="D207" s="404"/>
      <c r="E207" s="405"/>
      <c r="F207" s="407"/>
      <c r="G207" s="499"/>
      <c r="H207" s="500"/>
      <c r="I207" s="492"/>
      <c r="J207" s="501"/>
      <c r="K207" s="498"/>
      <c r="L207" s="498"/>
      <c r="M207" s="407"/>
      <c r="N207" s="368"/>
      <c r="O207" s="368"/>
      <c r="P207" s="81"/>
      <c r="Q207" s="81"/>
      <c r="R207" s="442"/>
      <c r="S207" s="404"/>
      <c r="T207" s="405"/>
      <c r="U207" s="406"/>
      <c r="V207" s="407"/>
      <c r="W207" s="407"/>
      <c r="X207" s="435"/>
      <c r="Y207" s="436"/>
      <c r="AA207" s="477"/>
      <c r="AB207" s="477"/>
      <c r="AC207" s="477"/>
      <c r="AD207" s="477"/>
      <c r="AE207" s="477"/>
      <c r="AF207" s="477"/>
      <c r="AG207" s="477"/>
      <c r="AH207" s="477"/>
      <c r="AI207" s="477"/>
      <c r="AJ207" s="477"/>
    </row>
    <row r="208" spans="2:36" ht="15" outlineLevel="1">
      <c r="B208" s="414">
        <v>202</v>
      </c>
      <c r="C208" s="442"/>
      <c r="D208" s="404"/>
      <c r="E208" s="405"/>
      <c r="F208" s="407"/>
      <c r="G208" s="499"/>
      <c r="H208" s="500"/>
      <c r="I208" s="492"/>
      <c r="J208" s="501"/>
      <c r="K208" s="498"/>
      <c r="L208" s="498"/>
      <c r="M208" s="407"/>
      <c r="N208" s="368"/>
      <c r="O208" s="368"/>
      <c r="P208" s="81"/>
      <c r="Q208" s="81"/>
      <c r="R208" s="442"/>
      <c r="S208" s="404"/>
      <c r="T208" s="405"/>
      <c r="U208" s="406"/>
      <c r="V208" s="407"/>
      <c r="W208" s="407"/>
      <c r="X208" s="435"/>
      <c r="Y208" s="436"/>
      <c r="AA208" s="477"/>
      <c r="AB208" s="477"/>
      <c r="AC208" s="477"/>
      <c r="AD208" s="477"/>
      <c r="AE208" s="477"/>
      <c r="AF208" s="477"/>
      <c r="AG208" s="477"/>
      <c r="AH208" s="477"/>
      <c r="AI208" s="477"/>
      <c r="AJ208" s="477"/>
    </row>
    <row r="209" spans="2:36" ht="15" outlineLevel="1">
      <c r="B209" s="414">
        <v>203</v>
      </c>
      <c r="C209" s="442"/>
      <c r="D209" s="404"/>
      <c r="E209" s="405"/>
      <c r="F209" s="407"/>
      <c r="G209" s="499"/>
      <c r="H209" s="500"/>
      <c r="I209" s="492"/>
      <c r="J209" s="501"/>
      <c r="K209" s="498"/>
      <c r="L209" s="498"/>
      <c r="M209" s="407"/>
      <c r="N209" s="368"/>
      <c r="O209" s="368"/>
      <c r="P209" s="81"/>
      <c r="Q209" s="81"/>
      <c r="R209" s="442"/>
      <c r="S209" s="404"/>
      <c r="T209" s="405"/>
      <c r="U209" s="406"/>
      <c r="V209" s="407"/>
      <c r="W209" s="407"/>
      <c r="X209" s="435"/>
      <c r="Y209" s="436"/>
      <c r="AA209" s="477"/>
      <c r="AB209" s="477"/>
      <c r="AC209" s="477"/>
      <c r="AD209" s="477"/>
      <c r="AE209" s="477"/>
      <c r="AF209" s="477"/>
      <c r="AG209" s="477"/>
      <c r="AH209" s="477"/>
      <c r="AI209" s="477"/>
      <c r="AJ209" s="477"/>
    </row>
    <row r="210" spans="2:36" ht="15" outlineLevel="1">
      <c r="B210" s="414">
        <v>204</v>
      </c>
      <c r="C210" s="442"/>
      <c r="D210" s="404"/>
      <c r="E210" s="405"/>
      <c r="F210" s="407"/>
      <c r="G210" s="499"/>
      <c r="H210" s="500"/>
      <c r="I210" s="492"/>
      <c r="J210" s="501"/>
      <c r="K210" s="498"/>
      <c r="L210" s="498"/>
      <c r="M210" s="407"/>
      <c r="N210" s="368"/>
      <c r="O210" s="368"/>
      <c r="P210" s="81"/>
      <c r="Q210" s="81"/>
      <c r="R210" s="442"/>
      <c r="S210" s="404"/>
      <c r="T210" s="405"/>
      <c r="U210" s="406"/>
      <c r="V210" s="407"/>
      <c r="W210" s="407"/>
      <c r="X210" s="435"/>
      <c r="Y210" s="436"/>
      <c r="AA210" s="477"/>
      <c r="AB210" s="477"/>
      <c r="AC210" s="477"/>
      <c r="AD210" s="477"/>
      <c r="AE210" s="477"/>
      <c r="AF210" s="477"/>
      <c r="AG210" s="477"/>
      <c r="AH210" s="477"/>
      <c r="AI210" s="477"/>
      <c r="AJ210" s="477"/>
    </row>
    <row r="211" spans="2:36" ht="15" outlineLevel="1">
      <c r="B211" s="414">
        <v>205</v>
      </c>
      <c r="C211" s="442"/>
      <c r="D211" s="404"/>
      <c r="E211" s="405"/>
      <c r="F211" s="407"/>
      <c r="G211" s="499"/>
      <c r="H211" s="500"/>
      <c r="I211" s="492"/>
      <c r="J211" s="501"/>
      <c r="K211" s="498"/>
      <c r="L211" s="498"/>
      <c r="M211" s="407"/>
      <c r="N211" s="368"/>
      <c r="O211" s="368"/>
      <c r="P211" s="81"/>
      <c r="Q211" s="81"/>
      <c r="R211" s="442"/>
      <c r="S211" s="404"/>
      <c r="T211" s="405"/>
      <c r="U211" s="406"/>
      <c r="V211" s="407"/>
      <c r="W211" s="407"/>
      <c r="X211" s="435"/>
      <c r="Y211" s="436"/>
      <c r="AA211" s="477"/>
      <c r="AB211" s="477"/>
      <c r="AC211" s="477"/>
      <c r="AD211" s="477"/>
      <c r="AE211" s="477"/>
      <c r="AF211" s="477"/>
      <c r="AG211" s="477"/>
      <c r="AH211" s="477"/>
      <c r="AI211" s="477"/>
      <c r="AJ211" s="477"/>
    </row>
    <row r="212" spans="2:36" ht="15" outlineLevel="1">
      <c r="B212" s="414">
        <v>206</v>
      </c>
      <c r="C212" s="442"/>
      <c r="D212" s="404"/>
      <c r="E212" s="405"/>
      <c r="F212" s="407"/>
      <c r="G212" s="499"/>
      <c r="H212" s="500"/>
      <c r="I212" s="492"/>
      <c r="J212" s="501"/>
      <c r="K212" s="498"/>
      <c r="L212" s="498"/>
      <c r="M212" s="407"/>
      <c r="N212" s="368"/>
      <c r="O212" s="368"/>
      <c r="P212" s="81"/>
      <c r="Q212" s="81"/>
      <c r="R212" s="442"/>
      <c r="S212" s="404"/>
      <c r="T212" s="405"/>
      <c r="U212" s="406"/>
      <c r="V212" s="407"/>
      <c r="W212" s="407"/>
      <c r="X212" s="435"/>
      <c r="Y212" s="436"/>
      <c r="AA212" s="477"/>
      <c r="AB212" s="477"/>
      <c r="AC212" s="477"/>
      <c r="AD212" s="477"/>
      <c r="AE212" s="477"/>
      <c r="AF212" s="477"/>
      <c r="AG212" s="477"/>
      <c r="AH212" s="477"/>
      <c r="AI212" s="477"/>
      <c r="AJ212" s="477"/>
    </row>
    <row r="213" spans="2:36" ht="15" outlineLevel="1">
      <c r="B213" s="414">
        <v>207</v>
      </c>
      <c r="C213" s="442"/>
      <c r="D213" s="404"/>
      <c r="E213" s="405"/>
      <c r="F213" s="407"/>
      <c r="G213" s="499"/>
      <c r="H213" s="500"/>
      <c r="I213" s="492"/>
      <c r="J213" s="501"/>
      <c r="K213" s="498"/>
      <c r="L213" s="498"/>
      <c r="M213" s="407"/>
      <c r="N213" s="368"/>
      <c r="O213" s="368"/>
      <c r="P213" s="81"/>
      <c r="Q213" s="81"/>
      <c r="R213" s="442"/>
      <c r="S213" s="404"/>
      <c r="T213" s="405"/>
      <c r="U213" s="406"/>
      <c r="V213" s="407"/>
      <c r="W213" s="407"/>
      <c r="X213" s="435"/>
      <c r="Y213" s="436"/>
      <c r="AA213" s="477"/>
      <c r="AB213" s="477"/>
      <c r="AC213" s="477"/>
      <c r="AD213" s="477"/>
      <c r="AE213" s="477"/>
      <c r="AF213" s="477"/>
      <c r="AG213" s="477"/>
      <c r="AH213" s="477"/>
      <c r="AI213" s="477"/>
      <c r="AJ213" s="477"/>
    </row>
    <row r="214" spans="2:36" ht="15" outlineLevel="1">
      <c r="B214" s="414">
        <v>208</v>
      </c>
      <c r="C214" s="442"/>
      <c r="D214" s="404"/>
      <c r="E214" s="405"/>
      <c r="F214" s="407"/>
      <c r="G214" s="499"/>
      <c r="H214" s="500"/>
      <c r="I214" s="492"/>
      <c r="J214" s="501"/>
      <c r="K214" s="498"/>
      <c r="L214" s="498"/>
      <c r="M214" s="407"/>
      <c r="N214" s="368"/>
      <c r="O214" s="368"/>
      <c r="P214" s="81"/>
      <c r="Q214" s="81"/>
      <c r="R214" s="442"/>
      <c r="S214" s="404"/>
      <c r="T214" s="405"/>
      <c r="U214" s="406"/>
      <c r="V214" s="407"/>
      <c r="W214" s="407"/>
      <c r="X214" s="435"/>
      <c r="Y214" s="436"/>
      <c r="AA214" s="477"/>
      <c r="AB214" s="477"/>
      <c r="AC214" s="477"/>
      <c r="AD214" s="477"/>
      <c r="AE214" s="477"/>
      <c r="AF214" s="477"/>
      <c r="AG214" s="477"/>
      <c r="AH214" s="477"/>
      <c r="AI214" s="477"/>
      <c r="AJ214" s="477"/>
    </row>
    <row r="215" spans="2:36" ht="15" outlineLevel="1">
      <c r="B215" s="414">
        <v>209</v>
      </c>
      <c r="C215" s="442"/>
      <c r="D215" s="404"/>
      <c r="E215" s="405"/>
      <c r="F215" s="407"/>
      <c r="G215" s="499"/>
      <c r="H215" s="500"/>
      <c r="I215" s="492"/>
      <c r="J215" s="501"/>
      <c r="K215" s="498"/>
      <c r="L215" s="498"/>
      <c r="M215" s="502"/>
      <c r="N215" s="368"/>
      <c r="O215" s="368"/>
      <c r="P215" s="81"/>
      <c r="Q215" s="81"/>
      <c r="R215" s="442"/>
      <c r="S215" s="404"/>
      <c r="T215" s="405"/>
      <c r="U215" s="406"/>
      <c r="V215" s="407"/>
      <c r="W215" s="407"/>
      <c r="X215" s="435"/>
      <c r="Y215" s="436"/>
      <c r="AA215" s="477"/>
      <c r="AB215" s="477"/>
      <c r="AC215" s="477"/>
      <c r="AD215" s="477"/>
      <c r="AE215" s="477"/>
      <c r="AF215" s="477"/>
      <c r="AG215" s="477"/>
      <c r="AH215" s="477"/>
      <c r="AI215" s="477"/>
      <c r="AJ215" s="477"/>
    </row>
    <row r="216" spans="2:36" ht="15" outlineLevel="1">
      <c r="B216" s="414">
        <v>210</v>
      </c>
      <c r="C216" s="442"/>
      <c r="D216" s="404"/>
      <c r="E216" s="405"/>
      <c r="F216" s="407"/>
      <c r="G216" s="499"/>
      <c r="H216" s="500"/>
      <c r="I216" s="492"/>
      <c r="J216" s="501"/>
      <c r="K216" s="498"/>
      <c r="L216" s="498"/>
      <c r="M216" s="502"/>
      <c r="N216" s="368"/>
      <c r="O216" s="368"/>
      <c r="P216" s="81"/>
      <c r="Q216" s="81"/>
      <c r="R216" s="442"/>
      <c r="S216" s="404"/>
      <c r="T216" s="405"/>
      <c r="U216" s="406"/>
      <c r="V216" s="407"/>
      <c r="W216" s="407"/>
      <c r="X216" s="435"/>
      <c r="Y216" s="436"/>
      <c r="AA216" s="477"/>
      <c r="AB216" s="477"/>
      <c r="AC216" s="477"/>
      <c r="AD216" s="477"/>
      <c r="AE216" s="477"/>
      <c r="AF216" s="477"/>
      <c r="AG216" s="477"/>
      <c r="AH216" s="477"/>
      <c r="AI216" s="477"/>
      <c r="AJ216" s="477"/>
    </row>
    <row r="217" spans="2:36" ht="15" outlineLevel="1">
      <c r="B217" s="414">
        <v>211</v>
      </c>
      <c r="C217" s="442"/>
      <c r="D217" s="404"/>
      <c r="E217" s="405"/>
      <c r="F217" s="407"/>
      <c r="G217" s="499"/>
      <c r="H217" s="500"/>
      <c r="I217" s="492"/>
      <c r="J217" s="501"/>
      <c r="K217" s="498"/>
      <c r="L217" s="498"/>
      <c r="M217" s="502"/>
      <c r="N217" s="368"/>
      <c r="O217" s="368"/>
      <c r="P217" s="81"/>
      <c r="Q217" s="81"/>
      <c r="R217" s="442"/>
      <c r="S217" s="404"/>
      <c r="T217" s="405"/>
      <c r="U217" s="406"/>
      <c r="V217" s="407"/>
      <c r="W217" s="407"/>
      <c r="X217" s="435"/>
      <c r="Y217" s="436"/>
      <c r="AA217" s="477"/>
      <c r="AB217" s="477"/>
      <c r="AC217" s="477"/>
      <c r="AD217" s="477"/>
      <c r="AE217" s="477"/>
      <c r="AF217" s="477"/>
      <c r="AG217" s="477"/>
      <c r="AH217" s="477"/>
      <c r="AI217" s="477"/>
      <c r="AJ217" s="477"/>
    </row>
    <row r="218" spans="2:36" ht="15" outlineLevel="1">
      <c r="B218" s="414">
        <v>212</v>
      </c>
      <c r="C218" s="442"/>
      <c r="D218" s="404"/>
      <c r="E218" s="405"/>
      <c r="F218" s="407"/>
      <c r="G218" s="499"/>
      <c r="H218" s="500"/>
      <c r="I218" s="492"/>
      <c r="J218" s="501"/>
      <c r="K218" s="498"/>
      <c r="L218" s="498"/>
      <c r="M218" s="502"/>
      <c r="N218" s="368"/>
      <c r="O218" s="368"/>
      <c r="P218" s="81"/>
      <c r="Q218" s="81"/>
      <c r="R218" s="442"/>
      <c r="S218" s="404"/>
      <c r="T218" s="405"/>
      <c r="U218" s="406"/>
      <c r="V218" s="407"/>
      <c r="W218" s="407"/>
      <c r="X218" s="435"/>
      <c r="Y218" s="436"/>
      <c r="AA218" s="477"/>
      <c r="AB218" s="477"/>
      <c r="AC218" s="477"/>
      <c r="AD218" s="477"/>
      <c r="AE218" s="477"/>
      <c r="AF218" s="477"/>
      <c r="AG218" s="477"/>
      <c r="AH218" s="477"/>
      <c r="AI218" s="477"/>
      <c r="AJ218" s="477"/>
    </row>
    <row r="219" spans="2:36" ht="15" outlineLevel="1">
      <c r="B219" s="414">
        <v>213</v>
      </c>
      <c r="C219" s="442"/>
      <c r="D219" s="404"/>
      <c r="E219" s="405"/>
      <c r="F219" s="407"/>
      <c r="G219" s="499"/>
      <c r="H219" s="500"/>
      <c r="I219" s="492"/>
      <c r="J219" s="501"/>
      <c r="K219" s="498"/>
      <c r="L219" s="498"/>
      <c r="M219" s="502"/>
      <c r="N219" s="368"/>
      <c r="O219" s="368"/>
      <c r="P219" s="81"/>
      <c r="Q219" s="81"/>
      <c r="R219" s="442"/>
      <c r="S219" s="404"/>
      <c r="T219" s="405"/>
      <c r="U219" s="406"/>
      <c r="V219" s="407"/>
      <c r="W219" s="407"/>
      <c r="X219" s="435"/>
      <c r="Y219" s="436"/>
      <c r="AA219" s="477"/>
      <c r="AB219" s="477"/>
      <c r="AC219" s="477"/>
      <c r="AD219" s="477"/>
      <c r="AE219" s="477"/>
      <c r="AF219" s="477"/>
      <c r="AG219" s="477"/>
      <c r="AH219" s="477"/>
      <c r="AI219" s="477"/>
      <c r="AJ219" s="477"/>
    </row>
    <row r="220" spans="2:36" ht="15" outlineLevel="1">
      <c r="B220" s="414">
        <v>214</v>
      </c>
      <c r="C220" s="442"/>
      <c r="D220" s="404"/>
      <c r="E220" s="405"/>
      <c r="F220" s="407"/>
      <c r="G220" s="499"/>
      <c r="H220" s="500"/>
      <c r="I220" s="492"/>
      <c r="J220" s="501"/>
      <c r="K220" s="498"/>
      <c r="L220" s="498"/>
      <c r="M220" s="502"/>
      <c r="N220" s="368"/>
      <c r="O220" s="368"/>
      <c r="P220" s="81"/>
      <c r="Q220" s="81"/>
      <c r="R220" s="442"/>
      <c r="S220" s="404"/>
      <c r="T220" s="405"/>
      <c r="U220" s="406"/>
      <c r="V220" s="407"/>
      <c r="W220" s="407"/>
      <c r="X220" s="435"/>
      <c r="Y220" s="436"/>
      <c r="AA220" s="477"/>
      <c r="AB220" s="477"/>
      <c r="AC220" s="477"/>
      <c r="AD220" s="477"/>
      <c r="AE220" s="477"/>
      <c r="AF220" s="477"/>
      <c r="AG220" s="477"/>
      <c r="AH220" s="477"/>
      <c r="AI220" s="477"/>
      <c r="AJ220" s="477"/>
    </row>
    <row r="221" spans="2:36" ht="15" outlineLevel="1">
      <c r="B221" s="414">
        <v>215</v>
      </c>
      <c r="C221" s="442"/>
      <c r="D221" s="404"/>
      <c r="E221" s="405"/>
      <c r="F221" s="407"/>
      <c r="G221" s="499"/>
      <c r="H221" s="500"/>
      <c r="I221" s="492"/>
      <c r="J221" s="501"/>
      <c r="K221" s="498"/>
      <c r="L221" s="498"/>
      <c r="M221" s="502"/>
      <c r="N221" s="368"/>
      <c r="O221" s="368"/>
      <c r="P221" s="81"/>
      <c r="Q221" s="81"/>
      <c r="R221" s="442"/>
      <c r="S221" s="404"/>
      <c r="T221" s="405"/>
      <c r="U221" s="406"/>
      <c r="V221" s="407"/>
      <c r="W221" s="407"/>
      <c r="X221" s="435"/>
      <c r="Y221" s="436"/>
      <c r="AA221" s="477"/>
      <c r="AB221" s="477"/>
      <c r="AC221" s="477"/>
      <c r="AD221" s="477"/>
      <c r="AE221" s="477"/>
      <c r="AF221" s="477"/>
      <c r="AG221" s="477"/>
      <c r="AH221" s="477"/>
      <c r="AI221" s="477"/>
      <c r="AJ221" s="477"/>
    </row>
    <row r="222" spans="2:36" ht="15" outlineLevel="1">
      <c r="B222" s="414">
        <v>216</v>
      </c>
      <c r="C222" s="442"/>
      <c r="D222" s="404"/>
      <c r="E222" s="405"/>
      <c r="F222" s="407"/>
      <c r="G222" s="499"/>
      <c r="H222" s="500"/>
      <c r="I222" s="492"/>
      <c r="J222" s="501"/>
      <c r="K222" s="498"/>
      <c r="L222" s="498"/>
      <c r="M222" s="502"/>
      <c r="N222" s="368"/>
      <c r="O222" s="368"/>
      <c r="P222" s="81"/>
      <c r="Q222" s="81"/>
      <c r="R222" s="442"/>
      <c r="S222" s="404"/>
      <c r="T222" s="405"/>
      <c r="U222" s="406"/>
      <c r="V222" s="407"/>
      <c r="W222" s="407"/>
      <c r="X222" s="435"/>
      <c r="Y222" s="436"/>
      <c r="AA222" s="477"/>
      <c r="AB222" s="477"/>
      <c r="AC222" s="477"/>
      <c r="AD222" s="477"/>
      <c r="AE222" s="477"/>
      <c r="AF222" s="477"/>
      <c r="AG222" s="477"/>
      <c r="AH222" s="477"/>
      <c r="AI222" s="477"/>
      <c r="AJ222" s="477"/>
    </row>
    <row r="223" spans="2:36" ht="15" outlineLevel="1">
      <c r="B223" s="414">
        <v>217</v>
      </c>
      <c r="C223" s="442"/>
      <c r="D223" s="404"/>
      <c r="E223" s="405"/>
      <c r="F223" s="407"/>
      <c r="G223" s="499"/>
      <c r="H223" s="500"/>
      <c r="I223" s="492"/>
      <c r="J223" s="501"/>
      <c r="K223" s="498"/>
      <c r="L223" s="498"/>
      <c r="M223" s="502"/>
      <c r="N223" s="368"/>
      <c r="O223" s="368"/>
      <c r="P223" s="81"/>
      <c r="Q223" s="81"/>
      <c r="R223" s="442"/>
      <c r="S223" s="404"/>
      <c r="T223" s="405"/>
      <c r="U223" s="406"/>
      <c r="V223" s="407"/>
      <c r="W223" s="407"/>
      <c r="X223" s="435"/>
      <c r="Y223" s="436"/>
      <c r="AA223" s="477"/>
      <c r="AB223" s="477"/>
      <c r="AC223" s="477"/>
      <c r="AD223" s="477"/>
      <c r="AE223" s="477"/>
      <c r="AF223" s="477"/>
      <c r="AG223" s="477"/>
      <c r="AH223" s="477"/>
      <c r="AI223" s="477"/>
      <c r="AJ223" s="477"/>
    </row>
    <row r="224" spans="2:36" ht="15" outlineLevel="1">
      <c r="B224" s="414">
        <v>218</v>
      </c>
      <c r="C224" s="442"/>
      <c r="D224" s="404"/>
      <c r="E224" s="405"/>
      <c r="F224" s="407"/>
      <c r="G224" s="499"/>
      <c r="H224" s="500"/>
      <c r="I224" s="492"/>
      <c r="J224" s="501"/>
      <c r="K224" s="498"/>
      <c r="L224" s="498"/>
      <c r="M224" s="502"/>
      <c r="N224" s="368"/>
      <c r="O224" s="368"/>
      <c r="P224" s="81"/>
      <c r="Q224" s="81"/>
      <c r="R224" s="442"/>
      <c r="S224" s="404"/>
      <c r="T224" s="405"/>
      <c r="U224" s="406"/>
      <c r="V224" s="407"/>
      <c r="W224" s="407"/>
      <c r="X224" s="435"/>
      <c r="Y224" s="436"/>
      <c r="AA224" s="477"/>
      <c r="AB224" s="477"/>
      <c r="AC224" s="477"/>
      <c r="AD224" s="477"/>
      <c r="AE224" s="477"/>
      <c r="AF224" s="477"/>
      <c r="AG224" s="477"/>
      <c r="AH224" s="477"/>
      <c r="AI224" s="477"/>
      <c r="AJ224" s="477"/>
    </row>
    <row r="225" spans="2:36" ht="15" outlineLevel="1">
      <c r="B225" s="414">
        <v>219</v>
      </c>
      <c r="C225" s="442"/>
      <c r="D225" s="404"/>
      <c r="E225" s="405"/>
      <c r="F225" s="407"/>
      <c r="G225" s="499"/>
      <c r="H225" s="500"/>
      <c r="I225" s="492"/>
      <c r="J225" s="501"/>
      <c r="K225" s="498"/>
      <c r="L225" s="498"/>
      <c r="M225" s="502"/>
      <c r="N225" s="368"/>
      <c r="O225" s="368"/>
      <c r="P225" s="81"/>
      <c r="Q225" s="81"/>
      <c r="R225" s="442"/>
      <c r="S225" s="404"/>
      <c r="T225" s="405"/>
      <c r="U225" s="406"/>
      <c r="V225" s="407"/>
      <c r="W225" s="407"/>
      <c r="X225" s="435"/>
      <c r="Y225" s="436"/>
      <c r="AA225" s="477"/>
      <c r="AB225" s="477"/>
      <c r="AC225" s="477"/>
      <c r="AD225" s="477"/>
      <c r="AE225" s="477"/>
      <c r="AF225" s="477"/>
      <c r="AG225" s="477"/>
      <c r="AH225" s="477"/>
      <c r="AI225" s="477"/>
      <c r="AJ225" s="477"/>
    </row>
    <row r="226" spans="2:36" ht="15" outlineLevel="1">
      <c r="B226" s="414">
        <v>220</v>
      </c>
      <c r="C226" s="442"/>
      <c r="D226" s="404"/>
      <c r="E226" s="405"/>
      <c r="F226" s="407"/>
      <c r="G226" s="499"/>
      <c r="H226" s="500"/>
      <c r="I226" s="492"/>
      <c r="J226" s="501"/>
      <c r="K226" s="498"/>
      <c r="L226" s="498"/>
      <c r="M226" s="502"/>
      <c r="N226" s="368"/>
      <c r="O226" s="368"/>
      <c r="P226" s="81"/>
      <c r="Q226" s="81"/>
      <c r="R226" s="442"/>
      <c r="S226" s="404"/>
      <c r="T226" s="405"/>
      <c r="U226" s="406"/>
      <c r="V226" s="407"/>
      <c r="W226" s="407"/>
      <c r="X226" s="435"/>
      <c r="Y226" s="436"/>
      <c r="AA226" s="477"/>
      <c r="AB226" s="477"/>
      <c r="AC226" s="477"/>
      <c r="AD226" s="477"/>
      <c r="AE226" s="477"/>
      <c r="AF226" s="477"/>
      <c r="AG226" s="477"/>
      <c r="AH226" s="477"/>
      <c r="AI226" s="477"/>
      <c r="AJ226" s="477"/>
    </row>
    <row r="227" spans="2:36" ht="15" outlineLevel="1">
      <c r="B227" s="414">
        <v>221</v>
      </c>
      <c r="C227" s="442"/>
      <c r="D227" s="404"/>
      <c r="E227" s="405"/>
      <c r="F227" s="407"/>
      <c r="G227" s="499"/>
      <c r="H227" s="500"/>
      <c r="I227" s="492"/>
      <c r="J227" s="501"/>
      <c r="K227" s="498"/>
      <c r="L227" s="498"/>
      <c r="M227" s="502"/>
      <c r="N227" s="368"/>
      <c r="O227" s="368"/>
      <c r="P227" s="81"/>
      <c r="Q227" s="81"/>
      <c r="R227" s="442"/>
      <c r="S227" s="404"/>
      <c r="T227" s="405"/>
      <c r="U227" s="406"/>
      <c r="V227" s="407"/>
      <c r="W227" s="407"/>
      <c r="X227" s="435"/>
      <c r="Y227" s="436"/>
      <c r="AA227" s="477"/>
      <c r="AB227" s="477"/>
      <c r="AC227" s="477"/>
      <c r="AD227" s="477"/>
      <c r="AE227" s="477"/>
      <c r="AF227" s="477"/>
      <c r="AG227" s="477"/>
      <c r="AH227" s="477"/>
      <c r="AI227" s="477"/>
      <c r="AJ227" s="477"/>
    </row>
    <row r="228" spans="2:36" ht="15" outlineLevel="1">
      <c r="B228" s="414">
        <v>222</v>
      </c>
      <c r="C228" s="442"/>
      <c r="D228" s="404"/>
      <c r="E228" s="405"/>
      <c r="F228" s="407"/>
      <c r="G228" s="499"/>
      <c r="H228" s="500"/>
      <c r="I228" s="492"/>
      <c r="J228" s="501"/>
      <c r="K228" s="498"/>
      <c r="L228" s="498"/>
      <c r="M228" s="502"/>
      <c r="N228" s="368"/>
      <c r="O228" s="368"/>
      <c r="P228" s="81"/>
      <c r="Q228" s="81"/>
      <c r="R228" s="442"/>
      <c r="S228" s="404"/>
      <c r="T228" s="405"/>
      <c r="U228" s="406"/>
      <c r="V228" s="407"/>
      <c r="W228" s="407"/>
      <c r="X228" s="435"/>
      <c r="Y228" s="436"/>
      <c r="AA228" s="477"/>
      <c r="AB228" s="477"/>
      <c r="AC228" s="477"/>
      <c r="AD228" s="477"/>
      <c r="AE228" s="477"/>
      <c r="AF228" s="477"/>
      <c r="AG228" s="477"/>
      <c r="AH228" s="477"/>
      <c r="AI228" s="477"/>
      <c r="AJ228" s="477"/>
    </row>
    <row r="229" spans="2:36" ht="15" outlineLevel="1">
      <c r="B229" s="414">
        <v>223</v>
      </c>
      <c r="C229" s="442"/>
      <c r="D229" s="404"/>
      <c r="E229" s="405"/>
      <c r="F229" s="407"/>
      <c r="G229" s="499"/>
      <c r="H229" s="500"/>
      <c r="I229" s="492"/>
      <c r="J229" s="501"/>
      <c r="K229" s="498"/>
      <c r="L229" s="498"/>
      <c r="M229" s="502"/>
      <c r="N229" s="368"/>
      <c r="O229" s="368"/>
      <c r="P229" s="81"/>
      <c r="Q229" s="81"/>
      <c r="R229" s="442"/>
      <c r="S229" s="404"/>
      <c r="T229" s="405"/>
      <c r="U229" s="406"/>
      <c r="V229" s="407"/>
      <c r="W229" s="407"/>
      <c r="X229" s="435"/>
      <c r="Y229" s="436"/>
      <c r="AA229" s="477"/>
      <c r="AB229" s="477"/>
      <c r="AC229" s="477"/>
      <c r="AD229" s="477"/>
      <c r="AE229" s="477"/>
      <c r="AF229" s="477"/>
      <c r="AG229" s="477"/>
      <c r="AH229" s="477"/>
      <c r="AI229" s="477"/>
      <c r="AJ229" s="477"/>
    </row>
    <row r="230" spans="2:36" ht="15" outlineLevel="1">
      <c r="B230" s="414">
        <v>224</v>
      </c>
      <c r="C230" s="442"/>
      <c r="D230" s="404"/>
      <c r="E230" s="405"/>
      <c r="F230" s="407"/>
      <c r="G230" s="499"/>
      <c r="H230" s="500"/>
      <c r="I230" s="492"/>
      <c r="J230" s="501"/>
      <c r="K230" s="498"/>
      <c r="L230" s="498"/>
      <c r="M230" s="502"/>
      <c r="N230" s="368"/>
      <c r="O230" s="368"/>
      <c r="P230" s="81"/>
      <c r="Q230" s="81"/>
      <c r="R230" s="442"/>
      <c r="S230" s="404"/>
      <c r="T230" s="405"/>
      <c r="U230" s="406"/>
      <c r="V230" s="407"/>
      <c r="W230" s="407"/>
      <c r="X230" s="435"/>
      <c r="Y230" s="436"/>
      <c r="AA230" s="477"/>
      <c r="AB230" s="477"/>
      <c r="AC230" s="477"/>
      <c r="AD230" s="477"/>
      <c r="AE230" s="477"/>
      <c r="AF230" s="477"/>
      <c r="AG230" s="477"/>
      <c r="AH230" s="477"/>
      <c r="AI230" s="477"/>
      <c r="AJ230" s="477"/>
    </row>
    <row r="231" spans="2:36" ht="15" outlineLevel="1">
      <c r="B231" s="414">
        <v>225</v>
      </c>
      <c r="C231" s="442"/>
      <c r="D231" s="404"/>
      <c r="E231" s="405"/>
      <c r="F231" s="407"/>
      <c r="G231" s="499"/>
      <c r="H231" s="500"/>
      <c r="I231" s="492"/>
      <c r="J231" s="501"/>
      <c r="K231" s="498"/>
      <c r="L231" s="498"/>
      <c r="M231" s="502"/>
      <c r="N231" s="368"/>
      <c r="O231" s="368"/>
      <c r="P231" s="81"/>
      <c r="Q231" s="81"/>
      <c r="R231" s="442"/>
      <c r="S231" s="404"/>
      <c r="T231" s="405"/>
      <c r="U231" s="406"/>
      <c r="V231" s="407"/>
      <c r="W231" s="407"/>
      <c r="X231" s="435"/>
      <c r="Y231" s="436"/>
      <c r="AA231" s="477"/>
      <c r="AB231" s="477"/>
      <c r="AC231" s="477"/>
      <c r="AD231" s="477"/>
      <c r="AE231" s="477"/>
      <c r="AF231" s="477"/>
      <c r="AG231" s="477"/>
      <c r="AH231" s="477"/>
      <c r="AI231" s="477"/>
      <c r="AJ231" s="477"/>
    </row>
    <row r="232" spans="2:36" ht="15" outlineLevel="1">
      <c r="B232" s="414">
        <v>226</v>
      </c>
      <c r="C232" s="442"/>
      <c r="D232" s="404"/>
      <c r="E232" s="405"/>
      <c r="F232" s="407"/>
      <c r="G232" s="499"/>
      <c r="H232" s="500"/>
      <c r="I232" s="492"/>
      <c r="J232" s="501"/>
      <c r="K232" s="498"/>
      <c r="L232" s="498"/>
      <c r="M232" s="502"/>
      <c r="N232" s="368"/>
      <c r="O232" s="368"/>
      <c r="P232" s="81"/>
      <c r="Q232" s="81"/>
      <c r="R232" s="442"/>
      <c r="S232" s="404"/>
      <c r="T232" s="405"/>
      <c r="U232" s="406"/>
      <c r="V232" s="407"/>
      <c r="W232" s="407"/>
      <c r="X232" s="435"/>
      <c r="Y232" s="436"/>
      <c r="AA232" s="477"/>
      <c r="AB232" s="477"/>
      <c r="AC232" s="477"/>
      <c r="AD232" s="477"/>
      <c r="AE232" s="477"/>
      <c r="AF232" s="477"/>
      <c r="AG232" s="477"/>
      <c r="AH232" s="477"/>
      <c r="AI232" s="477"/>
      <c r="AJ232" s="477"/>
    </row>
    <row r="233" spans="2:36" ht="15" outlineLevel="1">
      <c r="B233" s="414">
        <v>227</v>
      </c>
      <c r="C233" s="442"/>
      <c r="D233" s="404"/>
      <c r="E233" s="405"/>
      <c r="F233" s="407"/>
      <c r="G233" s="499"/>
      <c r="H233" s="500"/>
      <c r="I233" s="492"/>
      <c r="J233" s="501"/>
      <c r="K233" s="498"/>
      <c r="L233" s="498"/>
      <c r="M233" s="502"/>
      <c r="N233" s="368"/>
      <c r="O233" s="368"/>
      <c r="P233" s="81"/>
      <c r="Q233" s="81"/>
      <c r="R233" s="442"/>
      <c r="S233" s="404"/>
      <c r="T233" s="405"/>
      <c r="U233" s="406"/>
      <c r="V233" s="407"/>
      <c r="W233" s="407"/>
      <c r="X233" s="435"/>
      <c r="Y233" s="436"/>
      <c r="AA233" s="477"/>
      <c r="AB233" s="477"/>
      <c r="AC233" s="477"/>
      <c r="AD233" s="477"/>
      <c r="AE233" s="477"/>
      <c r="AF233" s="477"/>
      <c r="AG233" s="477"/>
      <c r="AH233" s="477"/>
      <c r="AI233" s="477"/>
      <c r="AJ233" s="477"/>
    </row>
    <row r="234" spans="2:36" ht="15" outlineLevel="1">
      <c r="B234" s="414">
        <v>228</v>
      </c>
      <c r="C234" s="442"/>
      <c r="D234" s="404"/>
      <c r="E234" s="405"/>
      <c r="F234" s="407"/>
      <c r="G234" s="499"/>
      <c r="H234" s="500"/>
      <c r="I234" s="492"/>
      <c r="J234" s="501"/>
      <c r="K234" s="498"/>
      <c r="L234" s="498"/>
      <c r="M234" s="502"/>
      <c r="N234" s="368"/>
      <c r="O234" s="368"/>
      <c r="P234" s="81"/>
      <c r="Q234" s="81"/>
      <c r="R234" s="442"/>
      <c r="S234" s="404"/>
      <c r="T234" s="405"/>
      <c r="U234" s="406"/>
      <c r="V234" s="407"/>
      <c r="W234" s="407"/>
      <c r="X234" s="435"/>
      <c r="Y234" s="436"/>
      <c r="AA234" s="477"/>
      <c r="AB234" s="477"/>
      <c r="AC234" s="477"/>
      <c r="AD234" s="477"/>
      <c r="AE234" s="477"/>
      <c r="AF234" s="477"/>
      <c r="AG234" s="477"/>
      <c r="AH234" s="477"/>
      <c r="AI234" s="477"/>
      <c r="AJ234" s="477"/>
    </row>
    <row r="235" spans="2:36" ht="15" outlineLevel="1">
      <c r="B235" s="414">
        <v>229</v>
      </c>
      <c r="C235" s="442"/>
      <c r="D235" s="404"/>
      <c r="E235" s="405"/>
      <c r="F235" s="407"/>
      <c r="G235" s="499"/>
      <c r="H235" s="500"/>
      <c r="I235" s="492"/>
      <c r="J235" s="501"/>
      <c r="K235" s="498"/>
      <c r="L235" s="498"/>
      <c r="M235" s="502"/>
      <c r="N235" s="368"/>
      <c r="O235" s="368"/>
      <c r="P235" s="81"/>
      <c r="Q235" s="81"/>
      <c r="R235" s="442"/>
      <c r="S235" s="404"/>
      <c r="T235" s="405"/>
      <c r="U235" s="406"/>
      <c r="V235" s="407"/>
      <c r="W235" s="407"/>
      <c r="X235" s="435"/>
      <c r="Y235" s="436"/>
      <c r="AA235" s="477"/>
      <c r="AB235" s="477"/>
      <c r="AC235" s="477"/>
      <c r="AD235" s="477"/>
      <c r="AE235" s="477"/>
      <c r="AF235" s="477"/>
      <c r="AG235" s="477"/>
      <c r="AH235" s="477"/>
      <c r="AI235" s="477"/>
      <c r="AJ235" s="477"/>
    </row>
    <row r="236" spans="2:36" ht="15" outlineLevel="1">
      <c r="B236" s="414">
        <v>230</v>
      </c>
      <c r="C236" s="442"/>
      <c r="D236" s="404"/>
      <c r="E236" s="405"/>
      <c r="F236" s="407"/>
      <c r="G236" s="499"/>
      <c r="H236" s="500"/>
      <c r="I236" s="492"/>
      <c r="J236" s="501"/>
      <c r="K236" s="498"/>
      <c r="L236" s="498"/>
      <c r="M236" s="502"/>
      <c r="N236" s="368"/>
      <c r="O236" s="368"/>
      <c r="P236" s="81"/>
      <c r="Q236" s="81"/>
      <c r="R236" s="442"/>
      <c r="S236" s="404"/>
      <c r="T236" s="405"/>
      <c r="U236" s="406"/>
      <c r="V236" s="407"/>
      <c r="W236" s="407"/>
      <c r="X236" s="435"/>
      <c r="Y236" s="436"/>
      <c r="AA236" s="477"/>
      <c r="AB236" s="477"/>
      <c r="AC236" s="477"/>
      <c r="AD236" s="477"/>
      <c r="AE236" s="477"/>
      <c r="AF236" s="477"/>
      <c r="AG236" s="477"/>
      <c r="AH236" s="477"/>
      <c r="AI236" s="477"/>
      <c r="AJ236" s="477"/>
    </row>
    <row r="237" spans="2:36" ht="15" outlineLevel="1">
      <c r="B237" s="414">
        <v>231</v>
      </c>
      <c r="C237" s="442"/>
      <c r="D237" s="404"/>
      <c r="E237" s="405"/>
      <c r="F237" s="407"/>
      <c r="G237" s="499"/>
      <c r="H237" s="500"/>
      <c r="I237" s="492"/>
      <c r="J237" s="501"/>
      <c r="K237" s="498"/>
      <c r="L237" s="498"/>
      <c r="M237" s="502"/>
      <c r="N237" s="368"/>
      <c r="O237" s="368"/>
      <c r="P237" s="81"/>
      <c r="Q237" s="81"/>
      <c r="R237" s="442"/>
      <c r="S237" s="404"/>
      <c r="T237" s="405"/>
      <c r="U237" s="406"/>
      <c r="V237" s="407"/>
      <c r="W237" s="407"/>
      <c r="X237" s="435"/>
      <c r="Y237" s="436"/>
      <c r="AA237" s="477"/>
      <c r="AB237" s="477"/>
      <c r="AC237" s="477"/>
      <c r="AD237" s="477"/>
      <c r="AE237" s="477"/>
      <c r="AF237" s="477"/>
      <c r="AG237" s="477"/>
      <c r="AH237" s="477"/>
      <c r="AI237" s="477"/>
      <c r="AJ237" s="477"/>
    </row>
    <row r="238" spans="2:36" ht="15" outlineLevel="1">
      <c r="B238" s="414">
        <v>232</v>
      </c>
      <c r="C238" s="442"/>
      <c r="D238" s="404"/>
      <c r="E238" s="405"/>
      <c r="F238" s="407"/>
      <c r="G238" s="499"/>
      <c r="H238" s="500"/>
      <c r="I238" s="492"/>
      <c r="J238" s="501"/>
      <c r="K238" s="498"/>
      <c r="L238" s="498"/>
      <c r="M238" s="502"/>
      <c r="N238" s="368"/>
      <c r="O238" s="368"/>
      <c r="P238" s="81"/>
      <c r="Q238" s="81"/>
      <c r="R238" s="442"/>
      <c r="S238" s="404"/>
      <c r="T238" s="405"/>
      <c r="U238" s="406"/>
      <c r="V238" s="407"/>
      <c r="W238" s="407"/>
      <c r="X238" s="435"/>
      <c r="Y238" s="436"/>
      <c r="AA238" s="477"/>
      <c r="AB238" s="477"/>
      <c r="AC238" s="477"/>
      <c r="AD238" s="477"/>
      <c r="AE238" s="477"/>
      <c r="AF238" s="477"/>
      <c r="AG238" s="477"/>
      <c r="AH238" s="477"/>
      <c r="AI238" s="477"/>
      <c r="AJ238" s="477"/>
    </row>
    <row r="239" spans="2:36" ht="15" outlineLevel="1">
      <c r="B239" s="414">
        <v>233</v>
      </c>
      <c r="C239" s="442"/>
      <c r="D239" s="404"/>
      <c r="E239" s="405"/>
      <c r="F239" s="407"/>
      <c r="G239" s="499"/>
      <c r="H239" s="500"/>
      <c r="I239" s="492"/>
      <c r="J239" s="501"/>
      <c r="K239" s="498"/>
      <c r="L239" s="498"/>
      <c r="M239" s="502"/>
      <c r="N239" s="368"/>
      <c r="O239" s="368"/>
      <c r="P239" s="81"/>
      <c r="Q239" s="81"/>
      <c r="R239" s="442"/>
      <c r="S239" s="404"/>
      <c r="T239" s="405"/>
      <c r="U239" s="406"/>
      <c r="V239" s="407"/>
      <c r="W239" s="407"/>
      <c r="X239" s="435"/>
      <c r="Y239" s="436"/>
      <c r="AA239" s="477"/>
      <c r="AB239" s="477"/>
      <c r="AC239" s="477"/>
      <c r="AD239" s="477"/>
      <c r="AE239" s="477"/>
      <c r="AF239" s="477"/>
      <c r="AG239" s="477"/>
      <c r="AH239" s="477"/>
      <c r="AI239" s="477"/>
      <c r="AJ239" s="477"/>
    </row>
    <row r="240" spans="2:36" ht="15" outlineLevel="1">
      <c r="B240" s="414">
        <v>234</v>
      </c>
      <c r="C240" s="442"/>
      <c r="D240" s="404"/>
      <c r="E240" s="405"/>
      <c r="F240" s="407"/>
      <c r="G240" s="499"/>
      <c r="H240" s="500"/>
      <c r="I240" s="492"/>
      <c r="J240" s="501"/>
      <c r="K240" s="498"/>
      <c r="L240" s="498"/>
      <c r="M240" s="502"/>
      <c r="N240" s="368"/>
      <c r="O240" s="368"/>
      <c r="P240" s="81"/>
      <c r="Q240" s="81"/>
      <c r="R240" s="442"/>
      <c r="S240" s="404"/>
      <c r="T240" s="405"/>
      <c r="U240" s="406"/>
      <c r="V240" s="407"/>
      <c r="W240" s="407"/>
      <c r="X240" s="435"/>
      <c r="Y240" s="436"/>
      <c r="AA240" s="477"/>
      <c r="AB240" s="477"/>
      <c r="AC240" s="477"/>
      <c r="AD240" s="477"/>
      <c r="AE240" s="477"/>
      <c r="AF240" s="477"/>
      <c r="AG240" s="477"/>
      <c r="AH240" s="477"/>
      <c r="AI240" s="477"/>
      <c r="AJ240" s="477"/>
    </row>
    <row r="241" spans="2:36" ht="15" outlineLevel="1">
      <c r="B241" s="414">
        <v>235</v>
      </c>
      <c r="C241" s="442"/>
      <c r="D241" s="404"/>
      <c r="E241" s="405"/>
      <c r="F241" s="407"/>
      <c r="G241" s="499"/>
      <c r="H241" s="500"/>
      <c r="I241" s="492"/>
      <c r="J241" s="501"/>
      <c r="K241" s="498"/>
      <c r="L241" s="498"/>
      <c r="M241" s="502"/>
      <c r="N241" s="368"/>
      <c r="O241" s="368"/>
      <c r="P241" s="81"/>
      <c r="Q241" s="81"/>
      <c r="R241" s="442"/>
      <c r="S241" s="404"/>
      <c r="T241" s="405"/>
      <c r="U241" s="406"/>
      <c r="V241" s="407"/>
      <c r="W241" s="407"/>
      <c r="X241" s="435"/>
      <c r="Y241" s="436"/>
      <c r="AA241" s="477"/>
      <c r="AB241" s="477"/>
      <c r="AC241" s="477"/>
      <c r="AD241" s="477"/>
      <c r="AE241" s="477"/>
      <c r="AF241" s="477"/>
      <c r="AG241" s="477"/>
      <c r="AH241" s="477"/>
      <c r="AI241" s="477"/>
      <c r="AJ241" s="477"/>
    </row>
    <row r="242" spans="2:36" ht="15" outlineLevel="1">
      <c r="B242" s="414">
        <v>236</v>
      </c>
      <c r="C242" s="442"/>
      <c r="D242" s="404"/>
      <c r="E242" s="405"/>
      <c r="F242" s="407"/>
      <c r="G242" s="499"/>
      <c r="H242" s="500"/>
      <c r="I242" s="492"/>
      <c r="J242" s="501"/>
      <c r="K242" s="498"/>
      <c r="L242" s="498"/>
      <c r="M242" s="502"/>
      <c r="N242" s="368"/>
      <c r="O242" s="368"/>
      <c r="P242" s="81"/>
      <c r="Q242" s="81"/>
      <c r="R242" s="442"/>
      <c r="S242" s="404"/>
      <c r="T242" s="405"/>
      <c r="U242" s="406"/>
      <c r="V242" s="407"/>
      <c r="W242" s="407"/>
      <c r="X242" s="435"/>
      <c r="Y242" s="436"/>
      <c r="AA242" s="477"/>
      <c r="AB242" s="477"/>
      <c r="AC242" s="477"/>
      <c r="AD242" s="477"/>
      <c r="AE242" s="477"/>
      <c r="AF242" s="477"/>
      <c r="AG242" s="477"/>
      <c r="AH242" s="477"/>
      <c r="AI242" s="477"/>
      <c r="AJ242" s="477"/>
    </row>
    <row r="243" spans="2:36" ht="15" outlineLevel="1">
      <c r="B243" s="414">
        <v>237</v>
      </c>
      <c r="C243" s="442"/>
      <c r="D243" s="404"/>
      <c r="E243" s="405"/>
      <c r="F243" s="407"/>
      <c r="G243" s="499"/>
      <c r="H243" s="500"/>
      <c r="I243" s="492"/>
      <c r="J243" s="501"/>
      <c r="K243" s="498"/>
      <c r="L243" s="498"/>
      <c r="M243" s="502"/>
      <c r="N243" s="368"/>
      <c r="O243" s="368"/>
      <c r="P243" s="81"/>
      <c r="Q243" s="81"/>
      <c r="R243" s="442"/>
      <c r="S243" s="404"/>
      <c r="T243" s="405"/>
      <c r="U243" s="406"/>
      <c r="V243" s="407"/>
      <c r="W243" s="407"/>
      <c r="X243" s="435"/>
      <c r="Y243" s="436"/>
      <c r="AA243" s="477"/>
      <c r="AB243" s="477"/>
      <c r="AC243" s="477"/>
      <c r="AD243" s="477"/>
      <c r="AE243" s="477"/>
      <c r="AF243" s="477"/>
      <c r="AG243" s="477"/>
      <c r="AH243" s="477"/>
      <c r="AI243" s="477"/>
      <c r="AJ243" s="477"/>
    </row>
    <row r="244" spans="2:36" ht="15" outlineLevel="1">
      <c r="B244" s="414">
        <v>238</v>
      </c>
      <c r="C244" s="442"/>
      <c r="D244" s="404"/>
      <c r="E244" s="405"/>
      <c r="F244" s="407"/>
      <c r="G244" s="499"/>
      <c r="H244" s="500"/>
      <c r="I244" s="492"/>
      <c r="J244" s="501"/>
      <c r="K244" s="498"/>
      <c r="L244" s="498"/>
      <c r="M244" s="502"/>
      <c r="N244" s="368"/>
      <c r="O244" s="368"/>
      <c r="P244" s="81"/>
      <c r="Q244" s="81"/>
      <c r="R244" s="442"/>
      <c r="S244" s="404"/>
      <c r="T244" s="405"/>
      <c r="U244" s="406"/>
      <c r="V244" s="407"/>
      <c r="W244" s="407"/>
      <c r="X244" s="435"/>
      <c r="Y244" s="436"/>
      <c r="AA244" s="477"/>
      <c r="AB244" s="477"/>
      <c r="AC244" s="477"/>
      <c r="AD244" s="477"/>
      <c r="AE244" s="477"/>
      <c r="AF244" s="477"/>
      <c r="AG244" s="477"/>
      <c r="AH244" s="477"/>
      <c r="AI244" s="477"/>
      <c r="AJ244" s="477"/>
    </row>
    <row r="245" spans="2:36" ht="15" outlineLevel="1">
      <c r="B245" s="414">
        <v>239</v>
      </c>
      <c r="C245" s="442"/>
      <c r="D245" s="404"/>
      <c r="E245" s="405"/>
      <c r="F245" s="407"/>
      <c r="G245" s="499"/>
      <c r="H245" s="500"/>
      <c r="I245" s="492"/>
      <c r="J245" s="501"/>
      <c r="K245" s="498"/>
      <c r="L245" s="498"/>
      <c r="M245" s="502"/>
      <c r="N245" s="368"/>
      <c r="O245" s="368"/>
      <c r="P245" s="81"/>
      <c r="Q245" s="81"/>
      <c r="R245" s="442"/>
      <c r="S245" s="404"/>
      <c r="T245" s="405"/>
      <c r="U245" s="406"/>
      <c r="V245" s="407"/>
      <c r="W245" s="407"/>
      <c r="X245" s="435"/>
      <c r="Y245" s="436"/>
      <c r="AA245" s="477"/>
      <c r="AB245" s="477"/>
      <c r="AC245" s="477"/>
      <c r="AD245" s="477"/>
      <c r="AE245" s="477"/>
      <c r="AF245" s="477"/>
      <c r="AG245" s="477"/>
      <c r="AH245" s="477"/>
      <c r="AI245" s="477"/>
      <c r="AJ245" s="477"/>
    </row>
    <row r="246" spans="2:36" ht="15" outlineLevel="1">
      <c r="B246" s="414">
        <v>240</v>
      </c>
      <c r="C246" s="442"/>
      <c r="D246" s="404"/>
      <c r="E246" s="405"/>
      <c r="F246" s="407"/>
      <c r="G246" s="499"/>
      <c r="H246" s="500"/>
      <c r="I246" s="492"/>
      <c r="J246" s="501"/>
      <c r="K246" s="498"/>
      <c r="L246" s="498"/>
      <c r="M246" s="502"/>
      <c r="N246" s="368"/>
      <c r="O246" s="368"/>
      <c r="P246" s="81"/>
      <c r="Q246" s="81"/>
      <c r="R246" s="442"/>
      <c r="S246" s="404"/>
      <c r="T246" s="405"/>
      <c r="U246" s="406"/>
      <c r="V246" s="407"/>
      <c r="W246" s="407"/>
      <c r="X246" s="435"/>
      <c r="Y246" s="436"/>
      <c r="AA246" s="477"/>
      <c r="AB246" s="477"/>
      <c r="AC246" s="477"/>
      <c r="AD246" s="477"/>
      <c r="AE246" s="477"/>
      <c r="AF246" s="477"/>
      <c r="AG246" s="477"/>
      <c r="AH246" s="477"/>
      <c r="AI246" s="477"/>
      <c r="AJ246" s="477"/>
    </row>
    <row r="247" spans="2:36" ht="15" outlineLevel="1">
      <c r="B247" s="414">
        <v>241</v>
      </c>
      <c r="C247" s="442"/>
      <c r="D247" s="404"/>
      <c r="E247" s="405"/>
      <c r="F247" s="407"/>
      <c r="G247" s="499"/>
      <c r="H247" s="500"/>
      <c r="I247" s="492"/>
      <c r="J247" s="501"/>
      <c r="K247" s="498"/>
      <c r="L247" s="498"/>
      <c r="M247" s="502"/>
      <c r="N247" s="368"/>
      <c r="O247" s="368"/>
      <c r="P247" s="81"/>
      <c r="Q247" s="81"/>
      <c r="R247" s="442"/>
      <c r="S247" s="404"/>
      <c r="T247" s="405"/>
      <c r="U247" s="406"/>
      <c r="V247" s="407"/>
      <c r="W247" s="407"/>
      <c r="X247" s="435"/>
      <c r="Y247" s="436"/>
      <c r="AA247" s="477"/>
      <c r="AB247" s="477"/>
      <c r="AC247" s="477"/>
      <c r="AD247" s="477"/>
      <c r="AE247" s="477"/>
      <c r="AF247" s="477"/>
      <c r="AG247" s="477"/>
      <c r="AH247" s="477"/>
      <c r="AI247" s="477"/>
      <c r="AJ247" s="477"/>
    </row>
    <row r="248" spans="2:36" ht="15" outlineLevel="1">
      <c r="B248" s="414">
        <v>242</v>
      </c>
      <c r="C248" s="442"/>
      <c r="D248" s="404"/>
      <c r="E248" s="405"/>
      <c r="F248" s="407"/>
      <c r="G248" s="499"/>
      <c r="H248" s="500"/>
      <c r="I248" s="492"/>
      <c r="J248" s="501"/>
      <c r="K248" s="498"/>
      <c r="L248" s="498"/>
      <c r="M248" s="502"/>
      <c r="N248" s="368"/>
      <c r="O248" s="368"/>
      <c r="P248" s="81"/>
      <c r="Q248" s="81"/>
      <c r="R248" s="442"/>
      <c r="S248" s="404"/>
      <c r="T248" s="405"/>
      <c r="U248" s="406"/>
      <c r="V248" s="407"/>
      <c r="W248" s="407"/>
      <c r="X248" s="435"/>
      <c r="Y248" s="436"/>
      <c r="AA248" s="477"/>
      <c r="AB248" s="477"/>
      <c r="AC248" s="477"/>
      <c r="AD248" s="477"/>
      <c r="AE248" s="477"/>
      <c r="AF248" s="477"/>
      <c r="AG248" s="477"/>
      <c r="AH248" s="477"/>
      <c r="AI248" s="477"/>
      <c r="AJ248" s="477"/>
    </row>
    <row r="249" spans="2:36" ht="15" outlineLevel="1">
      <c r="B249" s="414">
        <v>243</v>
      </c>
      <c r="C249" s="442"/>
      <c r="D249" s="404"/>
      <c r="E249" s="405"/>
      <c r="F249" s="407"/>
      <c r="G249" s="499"/>
      <c r="H249" s="500"/>
      <c r="I249" s="492"/>
      <c r="J249" s="501"/>
      <c r="K249" s="498"/>
      <c r="L249" s="498"/>
      <c r="M249" s="502"/>
      <c r="N249" s="368"/>
      <c r="O249" s="368"/>
      <c r="P249" s="81"/>
      <c r="Q249" s="81"/>
      <c r="R249" s="442"/>
      <c r="S249" s="404"/>
      <c r="T249" s="405"/>
      <c r="U249" s="406"/>
      <c r="V249" s="407"/>
      <c r="W249" s="407"/>
      <c r="X249" s="435"/>
      <c r="Y249" s="436"/>
      <c r="AA249" s="477"/>
      <c r="AB249" s="477"/>
      <c r="AC249" s="477"/>
      <c r="AD249" s="477"/>
      <c r="AE249" s="477"/>
      <c r="AF249" s="477"/>
      <c r="AG249" s="477"/>
      <c r="AH249" s="477"/>
      <c r="AI249" s="477"/>
      <c r="AJ249" s="477"/>
    </row>
    <row r="250" spans="2:36" ht="15" outlineLevel="1">
      <c r="B250" s="414">
        <v>244</v>
      </c>
      <c r="C250" s="442"/>
      <c r="D250" s="404"/>
      <c r="E250" s="405"/>
      <c r="F250" s="407"/>
      <c r="G250" s="499"/>
      <c r="H250" s="500"/>
      <c r="I250" s="492"/>
      <c r="J250" s="501"/>
      <c r="K250" s="498"/>
      <c r="L250" s="498"/>
      <c r="M250" s="502"/>
      <c r="N250" s="368"/>
      <c r="O250" s="368"/>
      <c r="P250" s="81"/>
      <c r="Q250" s="81"/>
      <c r="R250" s="442"/>
      <c r="S250" s="404"/>
      <c r="T250" s="405"/>
      <c r="U250" s="406"/>
      <c r="V250" s="407"/>
      <c r="W250" s="407"/>
      <c r="X250" s="435"/>
      <c r="Y250" s="436"/>
      <c r="AA250" s="477"/>
      <c r="AB250" s="477"/>
      <c r="AC250" s="477"/>
      <c r="AD250" s="477"/>
      <c r="AE250" s="477"/>
      <c r="AF250" s="477"/>
      <c r="AG250" s="477"/>
      <c r="AH250" s="477"/>
      <c r="AI250" s="477"/>
      <c r="AJ250" s="477"/>
    </row>
    <row r="251" spans="2:36" ht="15" outlineLevel="1">
      <c r="B251" s="414">
        <v>245</v>
      </c>
      <c r="C251" s="442"/>
      <c r="D251" s="404"/>
      <c r="E251" s="405"/>
      <c r="F251" s="407"/>
      <c r="G251" s="499"/>
      <c r="H251" s="500"/>
      <c r="I251" s="492"/>
      <c r="J251" s="501"/>
      <c r="K251" s="498"/>
      <c r="L251" s="498"/>
      <c r="M251" s="502"/>
      <c r="N251" s="368"/>
      <c r="O251" s="368"/>
      <c r="P251" s="81"/>
      <c r="Q251" s="81"/>
      <c r="R251" s="442"/>
      <c r="S251" s="404"/>
      <c r="T251" s="405"/>
      <c r="U251" s="406"/>
      <c r="V251" s="407"/>
      <c r="W251" s="407"/>
      <c r="X251" s="435"/>
      <c r="Y251" s="436"/>
      <c r="AA251" s="477"/>
      <c r="AB251" s="477"/>
      <c r="AC251" s="477"/>
      <c r="AD251" s="477"/>
      <c r="AE251" s="477"/>
      <c r="AF251" s="477"/>
      <c r="AG251" s="477"/>
      <c r="AH251" s="477"/>
      <c r="AI251" s="477"/>
      <c r="AJ251" s="477"/>
    </row>
    <row r="252" spans="2:36" ht="15" outlineLevel="1">
      <c r="B252" s="414">
        <v>246</v>
      </c>
      <c r="C252" s="442"/>
      <c r="D252" s="404"/>
      <c r="E252" s="405"/>
      <c r="F252" s="407"/>
      <c r="G252" s="499"/>
      <c r="H252" s="500"/>
      <c r="I252" s="492"/>
      <c r="J252" s="501"/>
      <c r="K252" s="498"/>
      <c r="L252" s="498"/>
      <c r="M252" s="502"/>
      <c r="N252" s="368"/>
      <c r="O252" s="368"/>
      <c r="P252" s="81"/>
      <c r="Q252" s="81"/>
      <c r="R252" s="442"/>
      <c r="S252" s="404"/>
      <c r="T252" s="405"/>
      <c r="U252" s="406"/>
      <c r="V252" s="407"/>
      <c r="W252" s="407"/>
      <c r="X252" s="435"/>
      <c r="Y252" s="436"/>
      <c r="AA252" s="477"/>
      <c r="AB252" s="477"/>
      <c r="AC252" s="477"/>
      <c r="AD252" s="477"/>
      <c r="AE252" s="477"/>
      <c r="AF252" s="477"/>
      <c r="AG252" s="477"/>
      <c r="AH252" s="477"/>
      <c r="AI252" s="477"/>
      <c r="AJ252" s="477"/>
    </row>
    <row r="253" spans="2:36" ht="15" outlineLevel="1">
      <c r="B253" s="414">
        <v>247</v>
      </c>
      <c r="C253" s="442"/>
      <c r="D253" s="404"/>
      <c r="E253" s="405"/>
      <c r="F253" s="407"/>
      <c r="G253" s="499"/>
      <c r="H253" s="500"/>
      <c r="I253" s="492"/>
      <c r="J253" s="501"/>
      <c r="K253" s="498"/>
      <c r="L253" s="498"/>
      <c r="M253" s="502"/>
      <c r="N253" s="368"/>
      <c r="O253" s="368"/>
      <c r="P253" s="81"/>
      <c r="Q253" s="81"/>
      <c r="R253" s="442"/>
      <c r="S253" s="404"/>
      <c r="T253" s="405"/>
      <c r="U253" s="406"/>
      <c r="V253" s="407"/>
      <c r="W253" s="407"/>
      <c r="X253" s="435"/>
      <c r="Y253" s="436"/>
      <c r="AA253" s="477"/>
      <c r="AB253" s="477"/>
      <c r="AC253" s="477"/>
      <c r="AD253" s="477"/>
      <c r="AE253" s="477"/>
      <c r="AF253" s="477"/>
      <c r="AG253" s="477"/>
      <c r="AH253" s="477"/>
      <c r="AI253" s="477"/>
      <c r="AJ253" s="477"/>
    </row>
    <row r="254" spans="2:36" ht="15" outlineLevel="1">
      <c r="B254" s="414">
        <v>248</v>
      </c>
      <c r="C254" s="442"/>
      <c r="D254" s="404"/>
      <c r="E254" s="405"/>
      <c r="F254" s="407"/>
      <c r="G254" s="499"/>
      <c r="H254" s="500"/>
      <c r="I254" s="492"/>
      <c r="J254" s="501"/>
      <c r="K254" s="498"/>
      <c r="L254" s="498"/>
      <c r="M254" s="502"/>
      <c r="N254" s="368"/>
      <c r="O254" s="368"/>
      <c r="P254" s="81"/>
      <c r="Q254" s="81"/>
      <c r="R254" s="442"/>
      <c r="S254" s="404"/>
      <c r="T254" s="405"/>
      <c r="U254" s="406"/>
      <c r="V254" s="407"/>
      <c r="W254" s="407"/>
      <c r="X254" s="435"/>
      <c r="Y254" s="436"/>
      <c r="AA254" s="477"/>
      <c r="AB254" s="477"/>
      <c r="AC254" s="477"/>
      <c r="AD254" s="477"/>
      <c r="AE254" s="477"/>
      <c r="AF254" s="477"/>
      <c r="AG254" s="477"/>
      <c r="AH254" s="477"/>
      <c r="AI254" s="477"/>
      <c r="AJ254" s="477"/>
    </row>
    <row r="255" spans="2:36" ht="15" outlineLevel="1">
      <c r="B255" s="414">
        <v>249</v>
      </c>
      <c r="C255" s="442"/>
      <c r="D255" s="404"/>
      <c r="E255" s="405"/>
      <c r="F255" s="407"/>
      <c r="G255" s="499"/>
      <c r="H255" s="500"/>
      <c r="I255" s="492"/>
      <c r="J255" s="501"/>
      <c r="K255" s="498"/>
      <c r="L255" s="498"/>
      <c r="M255" s="502"/>
      <c r="N255" s="368"/>
      <c r="O255" s="368"/>
      <c r="P255" s="81"/>
      <c r="Q255" s="81"/>
      <c r="R255" s="442"/>
      <c r="S255" s="404"/>
      <c r="T255" s="405"/>
      <c r="U255" s="406"/>
      <c r="V255" s="407"/>
      <c r="W255" s="407"/>
      <c r="X255" s="435"/>
      <c r="Y255" s="436"/>
      <c r="AA255" s="477"/>
      <c r="AB255" s="477"/>
      <c r="AC255" s="477"/>
      <c r="AD255" s="477"/>
      <c r="AE255" s="477"/>
      <c r="AF255" s="477"/>
      <c r="AG255" s="477"/>
      <c r="AH255" s="477"/>
      <c r="AI255" s="477"/>
      <c r="AJ255" s="477"/>
    </row>
    <row r="256" spans="2:36" ht="15" outlineLevel="1">
      <c r="B256" s="414">
        <v>250</v>
      </c>
      <c r="C256" s="442"/>
      <c r="D256" s="404"/>
      <c r="E256" s="405"/>
      <c r="F256" s="407"/>
      <c r="G256" s="499"/>
      <c r="H256" s="500"/>
      <c r="I256" s="492"/>
      <c r="J256" s="501"/>
      <c r="K256" s="498"/>
      <c r="L256" s="498"/>
      <c r="M256" s="502"/>
      <c r="N256" s="368"/>
      <c r="O256" s="368"/>
      <c r="P256" s="81"/>
      <c r="Q256" s="81"/>
      <c r="R256" s="442"/>
      <c r="S256" s="404"/>
      <c r="T256" s="405"/>
      <c r="U256" s="406"/>
      <c r="V256" s="407"/>
      <c r="W256" s="407"/>
      <c r="X256" s="435"/>
      <c r="Y256" s="436"/>
      <c r="AA256" s="477"/>
      <c r="AB256" s="477"/>
      <c r="AC256" s="477"/>
      <c r="AD256" s="477"/>
      <c r="AE256" s="477"/>
      <c r="AF256" s="477"/>
      <c r="AG256" s="477"/>
      <c r="AH256" s="477"/>
      <c r="AI256" s="477"/>
      <c r="AJ256" s="477"/>
    </row>
    <row r="257" spans="2:36" ht="15" outlineLevel="1">
      <c r="B257" s="414">
        <v>251</v>
      </c>
      <c r="C257" s="442"/>
      <c r="D257" s="404"/>
      <c r="E257" s="405"/>
      <c r="F257" s="407"/>
      <c r="G257" s="499"/>
      <c r="H257" s="500"/>
      <c r="I257" s="492"/>
      <c r="J257" s="501"/>
      <c r="K257" s="498"/>
      <c r="L257" s="498"/>
      <c r="M257" s="502"/>
      <c r="N257" s="368"/>
      <c r="O257" s="368"/>
      <c r="P257" s="81"/>
      <c r="Q257" s="81"/>
      <c r="R257" s="442"/>
      <c r="S257" s="404"/>
      <c r="T257" s="405"/>
      <c r="U257" s="406"/>
      <c r="V257" s="407"/>
      <c r="W257" s="407"/>
      <c r="X257" s="435"/>
      <c r="Y257" s="436"/>
      <c r="AA257" s="477"/>
      <c r="AB257" s="477"/>
      <c r="AC257" s="477"/>
      <c r="AD257" s="477"/>
      <c r="AE257" s="477"/>
      <c r="AF257" s="477"/>
      <c r="AG257" s="477"/>
      <c r="AH257" s="477"/>
      <c r="AI257" s="477"/>
      <c r="AJ257" s="477"/>
    </row>
    <row r="258" spans="2:36" ht="15" outlineLevel="1">
      <c r="B258" s="414">
        <v>252</v>
      </c>
      <c r="C258" s="442"/>
      <c r="D258" s="404"/>
      <c r="E258" s="405"/>
      <c r="F258" s="407"/>
      <c r="G258" s="499"/>
      <c r="H258" s="500"/>
      <c r="I258" s="492"/>
      <c r="J258" s="501"/>
      <c r="K258" s="498"/>
      <c r="L258" s="498"/>
      <c r="M258" s="502"/>
      <c r="N258" s="368"/>
      <c r="O258" s="368"/>
      <c r="P258" s="81"/>
      <c r="Q258" s="81"/>
      <c r="R258" s="442"/>
      <c r="S258" s="404"/>
      <c r="T258" s="405"/>
      <c r="U258" s="406"/>
      <c r="V258" s="407"/>
      <c r="W258" s="407"/>
      <c r="X258" s="435"/>
      <c r="Y258" s="436"/>
      <c r="AA258" s="477"/>
      <c r="AB258" s="477"/>
      <c r="AC258" s="477"/>
      <c r="AD258" s="477"/>
      <c r="AE258" s="477"/>
      <c r="AF258" s="477"/>
      <c r="AG258" s="477"/>
      <c r="AH258" s="477"/>
      <c r="AI258" s="477"/>
      <c r="AJ258" s="477"/>
    </row>
    <row r="259" spans="2:36" ht="15" outlineLevel="1">
      <c r="B259" s="414">
        <v>253</v>
      </c>
      <c r="C259" s="442"/>
      <c r="D259" s="404"/>
      <c r="E259" s="405"/>
      <c r="F259" s="407"/>
      <c r="G259" s="499"/>
      <c r="H259" s="500"/>
      <c r="I259" s="492"/>
      <c r="J259" s="501"/>
      <c r="K259" s="498"/>
      <c r="L259" s="498"/>
      <c r="M259" s="502"/>
      <c r="N259" s="368"/>
      <c r="O259" s="368"/>
      <c r="P259" s="81"/>
      <c r="Q259" s="81"/>
      <c r="R259" s="442"/>
      <c r="S259" s="404"/>
      <c r="T259" s="405"/>
      <c r="U259" s="406"/>
      <c r="V259" s="407"/>
      <c r="W259" s="407"/>
      <c r="X259" s="435"/>
      <c r="Y259" s="436"/>
      <c r="AA259" s="477"/>
      <c r="AB259" s="477"/>
      <c r="AC259" s="477"/>
      <c r="AD259" s="477"/>
      <c r="AE259" s="477"/>
      <c r="AF259" s="477"/>
      <c r="AG259" s="477"/>
      <c r="AH259" s="477"/>
      <c r="AI259" s="477"/>
      <c r="AJ259" s="477"/>
    </row>
    <row r="260" spans="2:36" ht="15" outlineLevel="1">
      <c r="B260" s="414">
        <v>254</v>
      </c>
      <c r="C260" s="442"/>
      <c r="D260" s="404"/>
      <c r="E260" s="405"/>
      <c r="F260" s="407"/>
      <c r="G260" s="499"/>
      <c r="H260" s="500"/>
      <c r="I260" s="492"/>
      <c r="J260" s="501"/>
      <c r="K260" s="498"/>
      <c r="L260" s="498"/>
      <c r="M260" s="502"/>
      <c r="N260" s="368"/>
      <c r="O260" s="368"/>
      <c r="P260" s="81"/>
      <c r="Q260" s="81"/>
      <c r="R260" s="442"/>
      <c r="S260" s="404"/>
      <c r="T260" s="405"/>
      <c r="U260" s="406"/>
      <c r="V260" s="407"/>
      <c r="W260" s="407"/>
      <c r="X260" s="435"/>
      <c r="Y260" s="436"/>
      <c r="AA260" s="477"/>
      <c r="AB260" s="477"/>
      <c r="AC260" s="477"/>
      <c r="AD260" s="477"/>
      <c r="AE260" s="477"/>
      <c r="AF260" s="477"/>
      <c r="AG260" s="477"/>
      <c r="AH260" s="477"/>
      <c r="AI260" s="477"/>
      <c r="AJ260" s="477"/>
    </row>
    <row r="261" spans="2:36" ht="15" outlineLevel="1">
      <c r="B261" s="414">
        <v>255</v>
      </c>
      <c r="C261" s="442"/>
      <c r="D261" s="404"/>
      <c r="E261" s="405"/>
      <c r="F261" s="407"/>
      <c r="G261" s="499"/>
      <c r="H261" s="500"/>
      <c r="I261" s="492"/>
      <c r="J261" s="501"/>
      <c r="K261" s="498"/>
      <c r="L261" s="498"/>
      <c r="M261" s="502"/>
      <c r="N261" s="368"/>
      <c r="O261" s="368"/>
      <c r="P261" s="81"/>
      <c r="Q261" s="81"/>
      <c r="R261" s="442"/>
      <c r="S261" s="404"/>
      <c r="T261" s="405"/>
      <c r="U261" s="406"/>
      <c r="V261" s="407"/>
      <c r="W261" s="407"/>
      <c r="X261" s="435"/>
      <c r="Y261" s="436"/>
      <c r="AA261" s="477"/>
      <c r="AB261" s="477"/>
      <c r="AC261" s="477"/>
      <c r="AD261" s="477"/>
      <c r="AE261" s="477"/>
      <c r="AF261" s="477"/>
      <c r="AG261" s="477"/>
      <c r="AH261" s="477"/>
      <c r="AI261" s="477"/>
      <c r="AJ261" s="477"/>
    </row>
    <row r="262" spans="2:36" ht="15" outlineLevel="1">
      <c r="B262" s="414">
        <v>256</v>
      </c>
      <c r="C262" s="442"/>
      <c r="D262" s="404"/>
      <c r="E262" s="405"/>
      <c r="F262" s="407"/>
      <c r="G262" s="499"/>
      <c r="H262" s="500"/>
      <c r="I262" s="492"/>
      <c r="J262" s="501"/>
      <c r="K262" s="498"/>
      <c r="L262" s="498"/>
      <c r="M262" s="502"/>
      <c r="N262" s="368"/>
      <c r="O262" s="368"/>
      <c r="P262" s="81"/>
      <c r="Q262" s="81"/>
      <c r="R262" s="442"/>
      <c r="S262" s="404"/>
      <c r="T262" s="405"/>
      <c r="U262" s="406"/>
      <c r="V262" s="407"/>
      <c r="W262" s="407"/>
      <c r="X262" s="435"/>
      <c r="Y262" s="436"/>
      <c r="AA262" s="477"/>
      <c r="AB262" s="477"/>
      <c r="AC262" s="477"/>
      <c r="AD262" s="477"/>
      <c r="AE262" s="477"/>
      <c r="AF262" s="477"/>
      <c r="AG262" s="477"/>
      <c r="AH262" s="477"/>
      <c r="AI262" s="477"/>
      <c r="AJ262" s="477"/>
    </row>
    <row r="263" spans="2:36" ht="15" outlineLevel="1">
      <c r="B263" s="414">
        <v>257</v>
      </c>
      <c r="C263" s="442"/>
      <c r="D263" s="404"/>
      <c r="E263" s="405"/>
      <c r="F263" s="407"/>
      <c r="G263" s="499"/>
      <c r="H263" s="500"/>
      <c r="I263" s="492"/>
      <c r="J263" s="501"/>
      <c r="K263" s="498"/>
      <c r="L263" s="498"/>
      <c r="M263" s="502"/>
      <c r="N263" s="368"/>
      <c r="O263" s="368"/>
      <c r="P263" s="81"/>
      <c r="Q263" s="81"/>
      <c r="R263" s="442"/>
      <c r="S263" s="404"/>
      <c r="T263" s="405"/>
      <c r="U263" s="406"/>
      <c r="V263" s="407"/>
      <c r="W263" s="407"/>
      <c r="X263" s="435"/>
      <c r="Y263" s="436"/>
      <c r="AA263" s="477"/>
      <c r="AB263" s="477"/>
      <c r="AC263" s="477"/>
      <c r="AD263" s="477"/>
      <c r="AE263" s="477"/>
      <c r="AF263" s="477"/>
      <c r="AG263" s="477"/>
      <c r="AH263" s="477"/>
      <c r="AI263" s="477"/>
      <c r="AJ263" s="477"/>
    </row>
    <row r="264" spans="2:36" ht="15" outlineLevel="1">
      <c r="B264" s="414">
        <v>258</v>
      </c>
      <c r="C264" s="442"/>
      <c r="D264" s="404"/>
      <c r="E264" s="405"/>
      <c r="F264" s="407"/>
      <c r="G264" s="499"/>
      <c r="H264" s="500"/>
      <c r="I264" s="492"/>
      <c r="J264" s="501"/>
      <c r="K264" s="498"/>
      <c r="L264" s="498"/>
      <c r="M264" s="502"/>
      <c r="N264" s="368"/>
      <c r="O264" s="368"/>
      <c r="P264" s="81"/>
      <c r="Q264" s="81"/>
      <c r="R264" s="442"/>
      <c r="S264" s="404"/>
      <c r="T264" s="405"/>
      <c r="U264" s="406"/>
      <c r="V264" s="407"/>
      <c r="W264" s="407"/>
      <c r="X264" s="435"/>
      <c r="Y264" s="436"/>
      <c r="AA264" s="477"/>
      <c r="AB264" s="477"/>
      <c r="AC264" s="477"/>
      <c r="AD264" s="477"/>
      <c r="AE264" s="477"/>
      <c r="AF264" s="477"/>
      <c r="AG264" s="477"/>
      <c r="AH264" s="477"/>
      <c r="AI264" s="477"/>
      <c r="AJ264" s="477"/>
    </row>
    <row r="265" spans="2:36" ht="15" outlineLevel="1">
      <c r="B265" s="414">
        <v>259</v>
      </c>
      <c r="C265" s="442"/>
      <c r="D265" s="404"/>
      <c r="E265" s="405"/>
      <c r="F265" s="407"/>
      <c r="G265" s="499"/>
      <c r="H265" s="500"/>
      <c r="I265" s="492"/>
      <c r="J265" s="501"/>
      <c r="K265" s="498"/>
      <c r="L265" s="498"/>
      <c r="M265" s="502"/>
      <c r="N265" s="368"/>
      <c r="O265" s="368"/>
      <c r="P265" s="81"/>
      <c r="Q265" s="81"/>
      <c r="R265" s="442"/>
      <c r="S265" s="404"/>
      <c r="T265" s="405"/>
      <c r="U265" s="406"/>
      <c r="V265" s="407"/>
      <c r="W265" s="407"/>
      <c r="X265" s="435"/>
      <c r="Y265" s="436"/>
      <c r="AA265" s="477"/>
      <c r="AB265" s="477"/>
      <c r="AC265" s="477"/>
      <c r="AD265" s="477"/>
      <c r="AE265" s="477"/>
      <c r="AF265" s="477"/>
      <c r="AG265" s="477"/>
      <c r="AH265" s="477"/>
      <c r="AI265" s="477"/>
      <c r="AJ265" s="477"/>
    </row>
    <row r="266" spans="2:36" ht="15" outlineLevel="1">
      <c r="B266" s="414">
        <v>260</v>
      </c>
      <c r="C266" s="442"/>
      <c r="D266" s="404"/>
      <c r="E266" s="405"/>
      <c r="F266" s="407"/>
      <c r="G266" s="499"/>
      <c r="H266" s="500"/>
      <c r="I266" s="492"/>
      <c r="J266" s="501"/>
      <c r="K266" s="498"/>
      <c r="L266" s="498"/>
      <c r="M266" s="502"/>
      <c r="N266" s="368"/>
      <c r="O266" s="368"/>
      <c r="P266" s="81"/>
      <c r="Q266" s="81"/>
      <c r="R266" s="442"/>
      <c r="S266" s="404"/>
      <c r="T266" s="405"/>
      <c r="U266" s="406"/>
      <c r="V266" s="407"/>
      <c r="W266" s="407"/>
      <c r="X266" s="435"/>
      <c r="Y266" s="436"/>
      <c r="AA266" s="477"/>
      <c r="AB266" s="477"/>
      <c r="AC266" s="477"/>
      <c r="AD266" s="477"/>
      <c r="AE266" s="477"/>
      <c r="AF266" s="477"/>
      <c r="AG266" s="477"/>
      <c r="AH266" s="477"/>
      <c r="AI266" s="477"/>
      <c r="AJ266" s="477"/>
    </row>
    <row r="267" spans="2:36" ht="15" outlineLevel="1">
      <c r="B267" s="414">
        <v>261</v>
      </c>
      <c r="C267" s="442"/>
      <c r="D267" s="404"/>
      <c r="E267" s="405"/>
      <c r="F267" s="407"/>
      <c r="G267" s="499"/>
      <c r="H267" s="500"/>
      <c r="I267" s="492"/>
      <c r="J267" s="501"/>
      <c r="K267" s="498"/>
      <c r="L267" s="498"/>
      <c r="M267" s="502"/>
      <c r="N267" s="368"/>
      <c r="O267" s="368"/>
      <c r="P267" s="81"/>
      <c r="Q267" s="81"/>
      <c r="R267" s="442"/>
      <c r="S267" s="404"/>
      <c r="T267" s="405"/>
      <c r="U267" s="406"/>
      <c r="V267" s="407"/>
      <c r="W267" s="407"/>
      <c r="X267" s="435"/>
      <c r="Y267" s="436"/>
      <c r="AA267" s="477"/>
      <c r="AB267" s="477"/>
      <c r="AC267" s="477"/>
      <c r="AD267" s="477"/>
      <c r="AE267" s="477"/>
      <c r="AF267" s="477"/>
      <c r="AG267" s="477"/>
      <c r="AH267" s="477"/>
      <c r="AI267" s="477"/>
      <c r="AJ267" s="477"/>
    </row>
    <row r="268" spans="2:36" ht="15" outlineLevel="1">
      <c r="B268" s="414">
        <v>262</v>
      </c>
      <c r="C268" s="442"/>
      <c r="D268" s="404"/>
      <c r="E268" s="405"/>
      <c r="F268" s="407"/>
      <c r="G268" s="499"/>
      <c r="H268" s="500"/>
      <c r="I268" s="492"/>
      <c r="J268" s="501"/>
      <c r="K268" s="498"/>
      <c r="L268" s="498"/>
      <c r="M268" s="502"/>
      <c r="N268" s="368"/>
      <c r="O268" s="368"/>
      <c r="P268" s="81"/>
      <c r="Q268" s="81"/>
      <c r="R268" s="442"/>
      <c r="S268" s="404"/>
      <c r="T268" s="405"/>
      <c r="U268" s="406"/>
      <c r="V268" s="407"/>
      <c r="W268" s="407"/>
      <c r="X268" s="435"/>
      <c r="Y268" s="436"/>
      <c r="AA268" s="477"/>
      <c r="AB268" s="477"/>
      <c r="AC268" s="477"/>
      <c r="AD268" s="477"/>
      <c r="AE268" s="477"/>
      <c r="AF268" s="477"/>
      <c r="AG268" s="477"/>
      <c r="AH268" s="477"/>
      <c r="AI268" s="477"/>
      <c r="AJ268" s="477"/>
    </row>
    <row r="269" spans="2:36" ht="15" outlineLevel="1">
      <c r="B269" s="414">
        <v>263</v>
      </c>
      <c r="C269" s="442"/>
      <c r="D269" s="404"/>
      <c r="E269" s="405"/>
      <c r="F269" s="407"/>
      <c r="G269" s="499"/>
      <c r="H269" s="500"/>
      <c r="I269" s="492"/>
      <c r="J269" s="501"/>
      <c r="K269" s="498"/>
      <c r="L269" s="498"/>
      <c r="M269" s="502"/>
      <c r="N269" s="368"/>
      <c r="O269" s="368"/>
      <c r="P269" s="81"/>
      <c r="Q269" s="81"/>
      <c r="R269" s="442"/>
      <c r="S269" s="404"/>
      <c r="T269" s="405"/>
      <c r="U269" s="406"/>
      <c r="V269" s="407"/>
      <c r="W269" s="407"/>
      <c r="X269" s="435"/>
      <c r="Y269" s="436"/>
      <c r="AA269" s="477"/>
      <c r="AB269" s="477"/>
      <c r="AC269" s="477"/>
      <c r="AD269" s="477"/>
      <c r="AE269" s="477"/>
      <c r="AF269" s="477"/>
      <c r="AG269" s="477"/>
      <c r="AH269" s="477"/>
      <c r="AI269" s="477"/>
      <c r="AJ269" s="477"/>
    </row>
    <row r="270" spans="2:36" ht="15" outlineLevel="1">
      <c r="B270" s="414">
        <v>264</v>
      </c>
      <c r="C270" s="442"/>
      <c r="D270" s="404"/>
      <c r="E270" s="405"/>
      <c r="F270" s="407"/>
      <c r="G270" s="499"/>
      <c r="H270" s="500"/>
      <c r="I270" s="492"/>
      <c r="J270" s="501"/>
      <c r="K270" s="498"/>
      <c r="L270" s="498"/>
      <c r="M270" s="502"/>
      <c r="N270" s="368"/>
      <c r="O270" s="368"/>
      <c r="P270" s="81"/>
      <c r="Q270" s="81"/>
      <c r="R270" s="442"/>
      <c r="S270" s="404"/>
      <c r="T270" s="405"/>
      <c r="U270" s="406"/>
      <c r="V270" s="407"/>
      <c r="W270" s="407"/>
      <c r="X270" s="435"/>
      <c r="Y270" s="436"/>
      <c r="AA270" s="477"/>
      <c r="AB270" s="477"/>
      <c r="AC270" s="477"/>
      <c r="AD270" s="477"/>
      <c r="AE270" s="477"/>
      <c r="AF270" s="477"/>
      <c r="AG270" s="477"/>
      <c r="AH270" s="477"/>
      <c r="AI270" s="477"/>
      <c r="AJ270" s="477"/>
    </row>
    <row r="271" spans="2:36" ht="15" outlineLevel="1">
      <c r="B271" s="414">
        <v>265</v>
      </c>
      <c r="C271" s="442"/>
      <c r="D271" s="404"/>
      <c r="E271" s="405"/>
      <c r="F271" s="407"/>
      <c r="G271" s="499"/>
      <c r="H271" s="500"/>
      <c r="I271" s="492"/>
      <c r="J271" s="501"/>
      <c r="K271" s="498"/>
      <c r="L271" s="498"/>
      <c r="M271" s="502"/>
      <c r="N271" s="368"/>
      <c r="O271" s="368"/>
      <c r="P271" s="81"/>
      <c r="Q271" s="81"/>
      <c r="R271" s="442"/>
      <c r="S271" s="404"/>
      <c r="T271" s="405"/>
      <c r="U271" s="406"/>
      <c r="V271" s="407"/>
      <c r="W271" s="407"/>
      <c r="X271" s="435"/>
      <c r="Y271" s="436"/>
      <c r="AA271" s="477"/>
      <c r="AB271" s="477"/>
      <c r="AC271" s="477"/>
      <c r="AD271" s="477"/>
      <c r="AE271" s="477"/>
      <c r="AF271" s="477"/>
      <c r="AG271" s="477"/>
      <c r="AH271" s="477"/>
      <c r="AI271" s="477"/>
      <c r="AJ271" s="477"/>
    </row>
    <row r="272" spans="2:36" ht="15" outlineLevel="1">
      <c r="B272" s="414">
        <v>266</v>
      </c>
      <c r="C272" s="442"/>
      <c r="D272" s="404"/>
      <c r="E272" s="405"/>
      <c r="F272" s="407"/>
      <c r="G272" s="499"/>
      <c r="H272" s="500"/>
      <c r="I272" s="492"/>
      <c r="J272" s="501"/>
      <c r="K272" s="498"/>
      <c r="L272" s="498"/>
      <c r="M272" s="502"/>
      <c r="N272" s="368"/>
      <c r="O272" s="368"/>
      <c r="P272" s="81"/>
      <c r="Q272" s="81"/>
      <c r="R272" s="442"/>
      <c r="S272" s="404"/>
      <c r="T272" s="405"/>
      <c r="U272" s="406"/>
      <c r="V272" s="407"/>
      <c r="W272" s="407"/>
      <c r="X272" s="435"/>
      <c r="Y272" s="436"/>
      <c r="AA272" s="477"/>
      <c r="AB272" s="477"/>
      <c r="AC272" s="477"/>
      <c r="AD272" s="477"/>
      <c r="AE272" s="477"/>
      <c r="AF272" s="477"/>
      <c r="AG272" s="477"/>
      <c r="AH272" s="477"/>
      <c r="AI272" s="477"/>
      <c r="AJ272" s="477"/>
    </row>
    <row r="273" spans="2:36" ht="15" outlineLevel="1">
      <c r="B273" s="414">
        <v>267</v>
      </c>
      <c r="C273" s="442"/>
      <c r="D273" s="404"/>
      <c r="E273" s="405"/>
      <c r="F273" s="407"/>
      <c r="G273" s="499"/>
      <c r="H273" s="500"/>
      <c r="I273" s="492"/>
      <c r="J273" s="501"/>
      <c r="K273" s="498"/>
      <c r="L273" s="498"/>
      <c r="M273" s="502"/>
      <c r="N273" s="368"/>
      <c r="O273" s="368"/>
      <c r="P273" s="81"/>
      <c r="Q273" s="81"/>
      <c r="R273" s="442"/>
      <c r="S273" s="404"/>
      <c r="T273" s="405"/>
      <c r="U273" s="406"/>
      <c r="V273" s="407"/>
      <c r="W273" s="407"/>
      <c r="X273" s="435"/>
      <c r="Y273" s="436"/>
      <c r="AA273" s="477"/>
      <c r="AB273" s="477"/>
      <c r="AC273" s="477"/>
      <c r="AD273" s="477"/>
      <c r="AE273" s="477"/>
      <c r="AF273" s="477"/>
      <c r="AG273" s="477"/>
      <c r="AH273" s="477"/>
      <c r="AI273" s="477"/>
      <c r="AJ273" s="477"/>
    </row>
    <row r="274" spans="2:36" ht="15" outlineLevel="1">
      <c r="B274" s="414">
        <v>268</v>
      </c>
      <c r="C274" s="442"/>
      <c r="D274" s="404"/>
      <c r="E274" s="405"/>
      <c r="F274" s="407"/>
      <c r="G274" s="499"/>
      <c r="H274" s="500"/>
      <c r="I274" s="492"/>
      <c r="J274" s="501"/>
      <c r="K274" s="498"/>
      <c r="L274" s="498"/>
      <c r="M274" s="502"/>
      <c r="N274" s="368"/>
      <c r="O274" s="368"/>
      <c r="P274" s="81"/>
      <c r="Q274" s="81"/>
      <c r="R274" s="442"/>
      <c r="S274" s="404"/>
      <c r="T274" s="405"/>
      <c r="U274" s="406"/>
      <c r="V274" s="407"/>
      <c r="W274" s="407"/>
      <c r="X274" s="435"/>
      <c r="Y274" s="436"/>
      <c r="AA274" s="477"/>
      <c r="AB274" s="477"/>
      <c r="AC274" s="477"/>
      <c r="AD274" s="477"/>
      <c r="AE274" s="477"/>
      <c r="AF274" s="477"/>
      <c r="AG274" s="477"/>
      <c r="AH274" s="477"/>
      <c r="AI274" s="477"/>
      <c r="AJ274" s="477"/>
    </row>
    <row r="275" spans="2:36" ht="15" outlineLevel="1">
      <c r="B275" s="414">
        <v>269</v>
      </c>
      <c r="C275" s="442"/>
      <c r="D275" s="404"/>
      <c r="E275" s="405"/>
      <c r="F275" s="407"/>
      <c r="G275" s="499"/>
      <c r="H275" s="500"/>
      <c r="I275" s="492"/>
      <c r="J275" s="501"/>
      <c r="K275" s="498"/>
      <c r="L275" s="498"/>
      <c r="M275" s="502"/>
      <c r="N275" s="368"/>
      <c r="O275" s="368"/>
      <c r="P275" s="81"/>
      <c r="Q275" s="81"/>
      <c r="R275" s="442"/>
      <c r="S275" s="404"/>
      <c r="T275" s="405"/>
      <c r="U275" s="406"/>
      <c r="V275" s="407"/>
      <c r="W275" s="407"/>
      <c r="X275" s="435"/>
      <c r="Y275" s="436"/>
      <c r="AA275" s="477"/>
      <c r="AB275" s="477"/>
      <c r="AC275" s="477"/>
      <c r="AD275" s="477"/>
      <c r="AE275" s="477"/>
      <c r="AF275" s="477"/>
      <c r="AG275" s="477"/>
      <c r="AH275" s="477"/>
      <c r="AI275" s="477"/>
      <c r="AJ275" s="477"/>
    </row>
    <row r="276" spans="2:36" ht="15" outlineLevel="1">
      <c r="B276" s="414">
        <v>270</v>
      </c>
      <c r="C276" s="442"/>
      <c r="D276" s="404"/>
      <c r="E276" s="405"/>
      <c r="F276" s="407"/>
      <c r="G276" s="499"/>
      <c r="H276" s="500"/>
      <c r="I276" s="492"/>
      <c r="J276" s="501"/>
      <c r="K276" s="498"/>
      <c r="L276" s="498"/>
      <c r="M276" s="502"/>
      <c r="N276" s="368"/>
      <c r="O276" s="368"/>
      <c r="P276" s="81"/>
      <c r="Q276" s="81"/>
      <c r="R276" s="442"/>
      <c r="S276" s="404"/>
      <c r="T276" s="405"/>
      <c r="U276" s="406"/>
      <c r="V276" s="407"/>
      <c r="W276" s="407"/>
      <c r="X276" s="435"/>
      <c r="Y276" s="436"/>
      <c r="AA276" s="477"/>
      <c r="AB276" s="477"/>
      <c r="AC276" s="477"/>
      <c r="AD276" s="477"/>
      <c r="AE276" s="477"/>
      <c r="AF276" s="477"/>
      <c r="AG276" s="477"/>
      <c r="AH276" s="477"/>
      <c r="AI276" s="477"/>
      <c r="AJ276" s="477"/>
    </row>
    <row r="277" spans="2:36" ht="15" outlineLevel="1">
      <c r="B277" s="414">
        <v>271</v>
      </c>
      <c r="C277" s="442"/>
      <c r="D277" s="404"/>
      <c r="E277" s="405"/>
      <c r="F277" s="407"/>
      <c r="G277" s="499"/>
      <c r="H277" s="500"/>
      <c r="I277" s="492"/>
      <c r="J277" s="501"/>
      <c r="K277" s="498"/>
      <c r="L277" s="498"/>
      <c r="M277" s="502"/>
      <c r="N277" s="368"/>
      <c r="O277" s="368"/>
      <c r="P277" s="81"/>
      <c r="Q277" s="81"/>
      <c r="R277" s="442"/>
      <c r="S277" s="404"/>
      <c r="T277" s="405"/>
      <c r="U277" s="406"/>
      <c r="V277" s="407"/>
      <c r="W277" s="407"/>
      <c r="X277" s="435"/>
      <c r="Y277" s="436"/>
      <c r="AA277" s="477"/>
      <c r="AB277" s="477"/>
      <c r="AC277" s="477"/>
      <c r="AD277" s="477"/>
      <c r="AE277" s="477"/>
      <c r="AF277" s="477"/>
      <c r="AG277" s="477"/>
      <c r="AH277" s="477"/>
      <c r="AI277" s="477"/>
      <c r="AJ277" s="477"/>
    </row>
    <row r="278" spans="2:36" ht="15" outlineLevel="1">
      <c r="B278" s="414">
        <v>272</v>
      </c>
      <c r="C278" s="442"/>
      <c r="D278" s="404"/>
      <c r="E278" s="405"/>
      <c r="F278" s="407"/>
      <c r="G278" s="499"/>
      <c r="H278" s="500"/>
      <c r="I278" s="492"/>
      <c r="J278" s="501"/>
      <c r="K278" s="498"/>
      <c r="L278" s="498"/>
      <c r="M278" s="502"/>
      <c r="N278" s="368"/>
      <c r="O278" s="368"/>
      <c r="P278" s="81"/>
      <c r="Q278" s="81"/>
      <c r="R278" s="442"/>
      <c r="S278" s="404"/>
      <c r="T278" s="405"/>
      <c r="U278" s="406"/>
      <c r="V278" s="407"/>
      <c r="W278" s="407"/>
      <c r="X278" s="435"/>
      <c r="Y278" s="436"/>
      <c r="AA278" s="477"/>
      <c r="AB278" s="477"/>
      <c r="AC278" s="477"/>
      <c r="AD278" s="477"/>
      <c r="AE278" s="477"/>
      <c r="AF278" s="477"/>
      <c r="AG278" s="477"/>
      <c r="AH278" s="477"/>
      <c r="AI278" s="477"/>
      <c r="AJ278" s="477"/>
    </row>
    <row r="279" spans="2:36" ht="15" outlineLevel="1">
      <c r="B279" s="414">
        <v>273</v>
      </c>
      <c r="C279" s="442"/>
      <c r="D279" s="404"/>
      <c r="E279" s="405"/>
      <c r="F279" s="407"/>
      <c r="G279" s="499"/>
      <c r="H279" s="500"/>
      <c r="I279" s="492"/>
      <c r="J279" s="501"/>
      <c r="K279" s="498"/>
      <c r="L279" s="498"/>
      <c r="M279" s="502"/>
      <c r="N279" s="368"/>
      <c r="O279" s="368"/>
      <c r="P279" s="81"/>
      <c r="Q279" s="81"/>
      <c r="R279" s="442"/>
      <c r="S279" s="404"/>
      <c r="T279" s="405"/>
      <c r="U279" s="406"/>
      <c r="V279" s="407"/>
      <c r="W279" s="407"/>
      <c r="X279" s="435"/>
      <c r="Y279" s="436"/>
      <c r="AA279" s="477"/>
      <c r="AB279" s="477"/>
      <c r="AC279" s="477"/>
      <c r="AD279" s="477"/>
      <c r="AE279" s="477"/>
      <c r="AF279" s="477"/>
      <c r="AG279" s="477"/>
      <c r="AH279" s="477"/>
      <c r="AI279" s="477"/>
      <c r="AJ279" s="477"/>
    </row>
    <row r="280" spans="2:36" ht="15" outlineLevel="1">
      <c r="B280" s="414">
        <v>274</v>
      </c>
      <c r="C280" s="442"/>
      <c r="D280" s="404"/>
      <c r="E280" s="405"/>
      <c r="F280" s="407"/>
      <c r="G280" s="499"/>
      <c r="H280" s="500"/>
      <c r="I280" s="492"/>
      <c r="J280" s="501"/>
      <c r="K280" s="498"/>
      <c r="L280" s="498"/>
      <c r="M280" s="502"/>
      <c r="N280" s="368"/>
      <c r="O280" s="368"/>
      <c r="P280" s="81"/>
      <c r="Q280" s="81"/>
      <c r="R280" s="442"/>
      <c r="S280" s="404"/>
      <c r="T280" s="405"/>
      <c r="U280" s="406"/>
      <c r="V280" s="407"/>
      <c r="W280" s="407"/>
      <c r="X280" s="435"/>
      <c r="Y280" s="436"/>
      <c r="AA280" s="477"/>
      <c r="AB280" s="477"/>
      <c r="AC280" s="477"/>
      <c r="AD280" s="477"/>
      <c r="AE280" s="477"/>
      <c r="AF280" s="477"/>
      <c r="AG280" s="477"/>
      <c r="AH280" s="477"/>
      <c r="AI280" s="477"/>
      <c r="AJ280" s="477"/>
    </row>
    <row r="281" spans="2:36" ht="15" outlineLevel="1">
      <c r="B281" s="414">
        <v>275</v>
      </c>
      <c r="C281" s="442"/>
      <c r="D281" s="404"/>
      <c r="E281" s="405"/>
      <c r="F281" s="407"/>
      <c r="G281" s="499"/>
      <c r="H281" s="500"/>
      <c r="I281" s="492"/>
      <c r="J281" s="501"/>
      <c r="K281" s="498"/>
      <c r="L281" s="498"/>
      <c r="M281" s="502"/>
      <c r="N281" s="368"/>
      <c r="O281" s="368"/>
      <c r="P281" s="81"/>
      <c r="Q281" s="81"/>
      <c r="R281" s="442"/>
      <c r="S281" s="404"/>
      <c r="T281" s="405"/>
      <c r="U281" s="406"/>
      <c r="V281" s="407"/>
      <c r="W281" s="407"/>
      <c r="X281" s="435"/>
      <c r="Y281" s="436"/>
      <c r="AA281" s="477"/>
      <c r="AB281" s="477"/>
      <c r="AC281" s="477"/>
      <c r="AD281" s="477"/>
      <c r="AE281" s="477"/>
      <c r="AF281" s="477"/>
      <c r="AG281" s="477"/>
      <c r="AH281" s="477"/>
      <c r="AI281" s="477"/>
      <c r="AJ281" s="477"/>
    </row>
    <row r="282" spans="2:36" ht="15" outlineLevel="1">
      <c r="B282" s="414">
        <v>276</v>
      </c>
      <c r="C282" s="442"/>
      <c r="D282" s="404"/>
      <c r="E282" s="405"/>
      <c r="F282" s="407"/>
      <c r="G282" s="499"/>
      <c r="H282" s="500"/>
      <c r="I282" s="492"/>
      <c r="J282" s="501"/>
      <c r="K282" s="498"/>
      <c r="L282" s="498"/>
      <c r="M282" s="502"/>
      <c r="N282" s="368"/>
      <c r="O282" s="368"/>
      <c r="P282" s="81"/>
      <c r="Q282" s="81"/>
      <c r="R282" s="442"/>
      <c r="S282" s="404"/>
      <c r="T282" s="405"/>
      <c r="U282" s="406"/>
      <c r="V282" s="407"/>
      <c r="W282" s="407"/>
      <c r="X282" s="435"/>
      <c r="Y282" s="436"/>
      <c r="AA282" s="477"/>
      <c r="AB282" s="477"/>
      <c r="AC282" s="477"/>
      <c r="AD282" s="477"/>
      <c r="AE282" s="477"/>
      <c r="AF282" s="477"/>
      <c r="AG282" s="477"/>
      <c r="AH282" s="477"/>
      <c r="AI282" s="477"/>
      <c r="AJ282" s="477"/>
    </row>
    <row r="283" spans="2:36" ht="15" outlineLevel="1">
      <c r="B283" s="414">
        <v>277</v>
      </c>
      <c r="C283" s="442"/>
      <c r="D283" s="404"/>
      <c r="E283" s="405"/>
      <c r="F283" s="407"/>
      <c r="G283" s="499"/>
      <c r="H283" s="500"/>
      <c r="I283" s="492"/>
      <c r="J283" s="501"/>
      <c r="K283" s="498"/>
      <c r="L283" s="498"/>
      <c r="M283" s="502"/>
      <c r="N283" s="368"/>
      <c r="O283" s="368"/>
      <c r="P283" s="81"/>
      <c r="Q283" s="81"/>
      <c r="R283" s="442"/>
      <c r="S283" s="404"/>
      <c r="T283" s="405"/>
      <c r="U283" s="406"/>
      <c r="V283" s="407"/>
      <c r="W283" s="407"/>
      <c r="X283" s="435"/>
      <c r="Y283" s="436"/>
      <c r="AA283" s="477"/>
      <c r="AB283" s="477"/>
      <c r="AC283" s="477"/>
      <c r="AD283" s="477"/>
      <c r="AE283" s="477"/>
      <c r="AF283" s="477"/>
      <c r="AG283" s="477"/>
      <c r="AH283" s="477"/>
      <c r="AI283" s="477"/>
      <c r="AJ283" s="477"/>
    </row>
    <row r="284" spans="2:36" ht="15" outlineLevel="1">
      <c r="B284" s="414">
        <v>278</v>
      </c>
      <c r="C284" s="442"/>
      <c r="D284" s="404"/>
      <c r="E284" s="405"/>
      <c r="F284" s="407"/>
      <c r="G284" s="499"/>
      <c r="H284" s="500"/>
      <c r="I284" s="492"/>
      <c r="J284" s="501"/>
      <c r="K284" s="498"/>
      <c r="L284" s="498"/>
      <c r="M284" s="502"/>
      <c r="N284" s="368"/>
      <c r="O284" s="368"/>
      <c r="P284" s="81"/>
      <c r="Q284" s="81"/>
      <c r="R284" s="442"/>
      <c r="S284" s="404"/>
      <c r="T284" s="405"/>
      <c r="U284" s="406"/>
      <c r="V284" s="407"/>
      <c r="W284" s="407"/>
      <c r="X284" s="435"/>
      <c r="Y284" s="436"/>
      <c r="AA284" s="477"/>
      <c r="AB284" s="477"/>
      <c r="AC284" s="477"/>
      <c r="AD284" s="477"/>
      <c r="AE284" s="477"/>
      <c r="AF284" s="477"/>
      <c r="AG284" s="477"/>
      <c r="AH284" s="477"/>
      <c r="AI284" s="477"/>
      <c r="AJ284" s="477"/>
    </row>
    <row r="285" spans="2:36" ht="15" outlineLevel="1">
      <c r="B285" s="414">
        <v>279</v>
      </c>
      <c r="C285" s="442"/>
      <c r="D285" s="404"/>
      <c r="E285" s="405"/>
      <c r="F285" s="407"/>
      <c r="G285" s="499"/>
      <c r="H285" s="500"/>
      <c r="I285" s="492"/>
      <c r="J285" s="501"/>
      <c r="K285" s="498"/>
      <c r="L285" s="498"/>
      <c r="M285" s="502"/>
      <c r="N285" s="368"/>
      <c r="O285" s="368"/>
      <c r="P285" s="81"/>
      <c r="Q285" s="81"/>
      <c r="R285" s="442"/>
      <c r="S285" s="404"/>
      <c r="T285" s="405"/>
      <c r="U285" s="406"/>
      <c r="V285" s="407"/>
      <c r="W285" s="407"/>
      <c r="X285" s="435"/>
      <c r="Y285" s="436"/>
      <c r="AA285" s="477"/>
      <c r="AB285" s="477"/>
      <c r="AC285" s="477"/>
      <c r="AD285" s="477"/>
      <c r="AE285" s="477"/>
      <c r="AF285" s="477"/>
      <c r="AG285" s="477"/>
      <c r="AH285" s="477"/>
      <c r="AI285" s="477"/>
      <c r="AJ285" s="477"/>
    </row>
    <row r="286" spans="2:36" ht="15" outlineLevel="1">
      <c r="B286" s="414">
        <v>280</v>
      </c>
      <c r="C286" s="442"/>
      <c r="D286" s="404"/>
      <c r="E286" s="405"/>
      <c r="F286" s="407"/>
      <c r="G286" s="499"/>
      <c r="H286" s="500"/>
      <c r="I286" s="492"/>
      <c r="J286" s="501"/>
      <c r="K286" s="498"/>
      <c r="L286" s="498"/>
      <c r="M286" s="502"/>
      <c r="N286" s="368"/>
      <c r="O286" s="368"/>
      <c r="P286" s="81"/>
      <c r="Q286" s="81"/>
      <c r="R286" s="442"/>
      <c r="S286" s="404"/>
      <c r="T286" s="405"/>
      <c r="U286" s="406"/>
      <c r="V286" s="407"/>
      <c r="W286" s="407"/>
      <c r="X286" s="435"/>
      <c r="Y286" s="436"/>
      <c r="AA286" s="477"/>
      <c r="AB286" s="477"/>
      <c r="AC286" s="477"/>
      <c r="AD286" s="477"/>
      <c r="AE286" s="477"/>
      <c r="AF286" s="477"/>
      <c r="AG286" s="477"/>
      <c r="AH286" s="477"/>
      <c r="AI286" s="477"/>
      <c r="AJ286" s="477"/>
    </row>
    <row r="287" spans="2:36" ht="15" outlineLevel="1">
      <c r="B287" s="414">
        <v>281</v>
      </c>
      <c r="C287" s="442"/>
      <c r="D287" s="404"/>
      <c r="E287" s="405"/>
      <c r="F287" s="407"/>
      <c r="G287" s="499"/>
      <c r="H287" s="500"/>
      <c r="I287" s="492"/>
      <c r="J287" s="501"/>
      <c r="K287" s="498"/>
      <c r="L287" s="498"/>
      <c r="M287" s="502"/>
      <c r="N287" s="368"/>
      <c r="O287" s="368"/>
      <c r="P287" s="81"/>
      <c r="Q287" s="81"/>
      <c r="R287" s="442"/>
      <c r="S287" s="404"/>
      <c r="T287" s="405"/>
      <c r="U287" s="406"/>
      <c r="V287" s="407"/>
      <c r="W287" s="407"/>
      <c r="X287" s="435"/>
      <c r="Y287" s="436"/>
      <c r="AA287" s="477"/>
      <c r="AB287" s="477"/>
      <c r="AC287" s="477"/>
      <c r="AD287" s="477"/>
      <c r="AE287" s="477"/>
      <c r="AF287" s="477"/>
      <c r="AG287" s="477"/>
      <c r="AH287" s="477"/>
      <c r="AI287" s="477"/>
      <c r="AJ287" s="477"/>
    </row>
    <row r="288" spans="2:36" ht="15" outlineLevel="1">
      <c r="B288" s="414">
        <v>282</v>
      </c>
      <c r="C288" s="442"/>
      <c r="D288" s="404"/>
      <c r="E288" s="405"/>
      <c r="F288" s="407"/>
      <c r="G288" s="499"/>
      <c r="H288" s="500"/>
      <c r="I288" s="492"/>
      <c r="J288" s="501"/>
      <c r="K288" s="498"/>
      <c r="L288" s="498"/>
      <c r="M288" s="502"/>
      <c r="N288" s="368"/>
      <c r="O288" s="368"/>
      <c r="P288" s="81"/>
      <c r="Q288" s="81"/>
      <c r="R288" s="442"/>
      <c r="S288" s="404"/>
      <c r="T288" s="405"/>
      <c r="U288" s="406"/>
      <c r="V288" s="407"/>
      <c r="W288" s="407"/>
      <c r="X288" s="435"/>
      <c r="Y288" s="436"/>
      <c r="AA288" s="477"/>
      <c r="AB288" s="477"/>
      <c r="AC288" s="477"/>
      <c r="AD288" s="477"/>
      <c r="AE288" s="477"/>
      <c r="AF288" s="477"/>
      <c r="AG288" s="477"/>
      <c r="AH288" s="477"/>
      <c r="AI288" s="477"/>
      <c r="AJ288" s="477"/>
    </row>
    <row r="289" spans="2:36" ht="15" outlineLevel="1">
      <c r="B289" s="414">
        <v>283</v>
      </c>
      <c r="C289" s="442"/>
      <c r="D289" s="404"/>
      <c r="E289" s="405"/>
      <c r="F289" s="407"/>
      <c r="G289" s="499"/>
      <c r="H289" s="500"/>
      <c r="I289" s="492"/>
      <c r="J289" s="501"/>
      <c r="K289" s="498"/>
      <c r="L289" s="498"/>
      <c r="M289" s="502"/>
      <c r="N289" s="368"/>
      <c r="O289" s="368"/>
      <c r="P289" s="81"/>
      <c r="Q289" s="81"/>
      <c r="R289" s="442"/>
      <c r="S289" s="404"/>
      <c r="T289" s="405"/>
      <c r="U289" s="406"/>
      <c r="V289" s="407"/>
      <c r="W289" s="407"/>
      <c r="X289" s="435"/>
      <c r="Y289" s="436"/>
      <c r="AA289" s="477"/>
      <c r="AB289" s="477"/>
      <c r="AC289" s="477"/>
      <c r="AD289" s="477"/>
      <c r="AE289" s="477"/>
      <c r="AF289" s="477"/>
      <c r="AG289" s="477"/>
      <c r="AH289" s="477"/>
      <c r="AI289" s="477"/>
      <c r="AJ289" s="477"/>
    </row>
    <row r="290" spans="2:36" ht="15" outlineLevel="1">
      <c r="B290" s="414">
        <v>284</v>
      </c>
      <c r="C290" s="442"/>
      <c r="D290" s="404"/>
      <c r="E290" s="405"/>
      <c r="F290" s="407"/>
      <c r="G290" s="499"/>
      <c r="H290" s="500"/>
      <c r="I290" s="492"/>
      <c r="J290" s="501"/>
      <c r="K290" s="498"/>
      <c r="L290" s="498"/>
      <c r="M290" s="502"/>
      <c r="N290" s="368"/>
      <c r="O290" s="368"/>
      <c r="P290" s="81"/>
      <c r="Q290" s="81"/>
      <c r="R290" s="442"/>
      <c r="S290" s="404"/>
      <c r="T290" s="405"/>
      <c r="U290" s="406"/>
      <c r="V290" s="407"/>
      <c r="W290" s="407"/>
      <c r="X290" s="435"/>
      <c r="Y290" s="436"/>
      <c r="AA290" s="477"/>
      <c r="AB290" s="477"/>
      <c r="AC290" s="477"/>
      <c r="AD290" s="477"/>
      <c r="AE290" s="477"/>
      <c r="AF290" s="477"/>
      <c r="AG290" s="477"/>
      <c r="AH290" s="477"/>
      <c r="AI290" s="477"/>
      <c r="AJ290" s="477"/>
    </row>
    <row r="291" spans="2:36" ht="15" outlineLevel="1">
      <c r="B291" s="414">
        <v>285</v>
      </c>
      <c r="C291" s="442"/>
      <c r="D291" s="404"/>
      <c r="E291" s="405"/>
      <c r="F291" s="407"/>
      <c r="G291" s="499"/>
      <c r="H291" s="500"/>
      <c r="I291" s="492"/>
      <c r="J291" s="501"/>
      <c r="K291" s="498"/>
      <c r="L291" s="498"/>
      <c r="M291" s="502"/>
      <c r="N291" s="368"/>
      <c r="O291" s="368"/>
      <c r="P291" s="81"/>
      <c r="Q291" s="81"/>
      <c r="R291" s="442"/>
      <c r="S291" s="404"/>
      <c r="T291" s="405"/>
      <c r="U291" s="406"/>
      <c r="V291" s="407"/>
      <c r="W291" s="407"/>
      <c r="X291" s="435"/>
      <c r="Y291" s="436"/>
      <c r="AA291" s="477"/>
      <c r="AB291" s="477"/>
      <c r="AC291" s="477"/>
      <c r="AD291" s="477"/>
      <c r="AE291" s="477"/>
      <c r="AF291" s="477"/>
      <c r="AG291" s="477"/>
      <c r="AH291" s="477"/>
      <c r="AI291" s="477"/>
      <c r="AJ291" s="477"/>
    </row>
    <row r="292" spans="2:36" ht="15" outlineLevel="1">
      <c r="B292" s="414">
        <v>286</v>
      </c>
      <c r="C292" s="442"/>
      <c r="D292" s="404"/>
      <c r="E292" s="405"/>
      <c r="F292" s="407"/>
      <c r="G292" s="499"/>
      <c r="H292" s="500"/>
      <c r="I292" s="492"/>
      <c r="J292" s="501"/>
      <c r="K292" s="498"/>
      <c r="L292" s="498"/>
      <c r="M292" s="502"/>
      <c r="N292" s="368"/>
      <c r="O292" s="368"/>
      <c r="P292" s="81"/>
      <c r="Q292" s="81"/>
      <c r="R292" s="403"/>
      <c r="S292" s="404"/>
      <c r="T292" s="405"/>
      <c r="U292" s="406"/>
      <c r="V292" s="407"/>
      <c r="W292" s="407"/>
      <c r="X292" s="435"/>
      <c r="Y292" s="436"/>
      <c r="AA292" s="477"/>
      <c r="AB292" s="477"/>
      <c r="AC292" s="477"/>
      <c r="AD292" s="477"/>
      <c r="AE292" s="477"/>
      <c r="AF292" s="477"/>
      <c r="AG292" s="477"/>
      <c r="AH292" s="477"/>
      <c r="AI292" s="477"/>
      <c r="AJ292" s="477"/>
    </row>
    <row r="293" spans="2:36" ht="15" outlineLevel="1">
      <c r="B293" s="414">
        <v>287</v>
      </c>
      <c r="C293" s="442"/>
      <c r="D293" s="404"/>
      <c r="E293" s="405"/>
      <c r="F293" s="407"/>
      <c r="G293" s="499"/>
      <c r="H293" s="500"/>
      <c r="I293" s="492"/>
      <c r="J293" s="501"/>
      <c r="K293" s="498"/>
      <c r="L293" s="498"/>
      <c r="M293" s="502"/>
      <c r="N293" s="368"/>
      <c r="O293" s="368"/>
      <c r="P293" s="81"/>
      <c r="Q293" s="81"/>
      <c r="R293" s="403"/>
      <c r="S293" s="404"/>
      <c r="T293" s="405"/>
      <c r="U293" s="406"/>
      <c r="V293" s="407"/>
      <c r="W293" s="407"/>
      <c r="X293" s="435"/>
      <c r="Y293" s="436"/>
      <c r="AA293" s="477"/>
      <c r="AB293" s="477"/>
      <c r="AC293" s="477"/>
      <c r="AD293" s="477"/>
      <c r="AE293" s="477"/>
      <c r="AF293" s="477"/>
      <c r="AG293" s="477"/>
      <c r="AH293" s="477"/>
      <c r="AI293" s="477"/>
      <c r="AJ293" s="477"/>
    </row>
    <row r="294" spans="2:36" ht="15" outlineLevel="1">
      <c r="B294" s="414">
        <v>288</v>
      </c>
      <c r="C294" s="442"/>
      <c r="D294" s="404"/>
      <c r="E294" s="405"/>
      <c r="F294" s="407"/>
      <c r="G294" s="499"/>
      <c r="H294" s="500"/>
      <c r="I294" s="492"/>
      <c r="J294" s="501"/>
      <c r="K294" s="498"/>
      <c r="L294" s="498"/>
      <c r="M294" s="502"/>
      <c r="N294" s="368"/>
      <c r="O294" s="368"/>
      <c r="P294" s="81"/>
      <c r="Q294" s="81"/>
      <c r="R294" s="403"/>
      <c r="S294" s="404"/>
      <c r="T294" s="405"/>
      <c r="U294" s="406"/>
      <c r="V294" s="407"/>
      <c r="W294" s="407"/>
      <c r="X294" s="435"/>
      <c r="Y294" s="436"/>
      <c r="AA294" s="477"/>
      <c r="AB294" s="477"/>
      <c r="AC294" s="477"/>
      <c r="AD294" s="477"/>
      <c r="AE294" s="477"/>
      <c r="AF294" s="477"/>
      <c r="AG294" s="477"/>
      <c r="AH294" s="477"/>
      <c r="AI294" s="477"/>
      <c r="AJ294" s="477"/>
    </row>
    <row r="295" spans="2:36" ht="15" outlineLevel="1">
      <c r="B295" s="414">
        <v>289</v>
      </c>
      <c r="C295" s="442"/>
      <c r="D295" s="404"/>
      <c r="E295" s="405"/>
      <c r="F295" s="407"/>
      <c r="G295" s="499"/>
      <c r="H295" s="500"/>
      <c r="I295" s="492"/>
      <c r="J295" s="501"/>
      <c r="K295" s="498"/>
      <c r="L295" s="498"/>
      <c r="M295" s="502"/>
      <c r="N295" s="368"/>
      <c r="O295" s="368"/>
      <c r="P295" s="81"/>
      <c r="Q295" s="81"/>
      <c r="R295" s="403"/>
      <c r="S295" s="404"/>
      <c r="T295" s="405"/>
      <c r="U295" s="406"/>
      <c r="V295" s="407"/>
      <c r="W295" s="407"/>
      <c r="X295" s="435"/>
      <c r="Y295" s="436"/>
      <c r="AA295" s="477"/>
      <c r="AB295" s="477"/>
      <c r="AC295" s="477"/>
      <c r="AD295" s="477"/>
      <c r="AE295" s="477"/>
      <c r="AF295" s="477"/>
      <c r="AG295" s="477"/>
      <c r="AH295" s="477"/>
      <c r="AI295" s="477"/>
      <c r="AJ295" s="477"/>
    </row>
    <row r="296" spans="2:36" ht="15" outlineLevel="1">
      <c r="B296" s="414">
        <v>290</v>
      </c>
      <c r="C296" s="442"/>
      <c r="D296" s="404"/>
      <c r="E296" s="405"/>
      <c r="F296" s="407"/>
      <c r="G296" s="499"/>
      <c r="H296" s="500"/>
      <c r="I296" s="492"/>
      <c r="J296" s="501"/>
      <c r="K296" s="498"/>
      <c r="L296" s="498"/>
      <c r="M296" s="502"/>
      <c r="N296" s="368"/>
      <c r="O296" s="368"/>
      <c r="P296" s="81"/>
      <c r="Q296" s="81"/>
      <c r="R296" s="403"/>
      <c r="S296" s="404"/>
      <c r="T296" s="405"/>
      <c r="U296" s="406"/>
      <c r="V296" s="407"/>
      <c r="W296" s="407"/>
      <c r="X296" s="435"/>
      <c r="Y296" s="436"/>
      <c r="AA296" s="477"/>
      <c r="AB296" s="477"/>
      <c r="AC296" s="477"/>
      <c r="AD296" s="477"/>
      <c r="AE296" s="477"/>
      <c r="AF296" s="477"/>
      <c r="AG296" s="477"/>
      <c r="AH296" s="477"/>
      <c r="AI296" s="477"/>
      <c r="AJ296" s="477"/>
    </row>
    <row r="297" spans="2:36" ht="15" outlineLevel="1">
      <c r="B297" s="414">
        <v>291</v>
      </c>
      <c r="C297" s="442"/>
      <c r="D297" s="404"/>
      <c r="E297" s="405"/>
      <c r="F297" s="407"/>
      <c r="G297" s="499"/>
      <c r="H297" s="500"/>
      <c r="I297" s="492"/>
      <c r="J297" s="501"/>
      <c r="K297" s="498"/>
      <c r="L297" s="498"/>
      <c r="M297" s="502"/>
      <c r="N297" s="368"/>
      <c r="O297" s="368"/>
      <c r="P297" s="81"/>
      <c r="Q297" s="81"/>
      <c r="R297" s="403"/>
      <c r="S297" s="404"/>
      <c r="T297" s="405"/>
      <c r="U297" s="406"/>
      <c r="V297" s="407"/>
      <c r="W297" s="407"/>
      <c r="X297" s="435"/>
      <c r="Y297" s="436"/>
      <c r="AA297" s="477"/>
      <c r="AB297" s="477"/>
      <c r="AC297" s="477"/>
      <c r="AD297" s="477"/>
      <c r="AE297" s="477"/>
      <c r="AF297" s="477"/>
      <c r="AG297" s="477"/>
      <c r="AH297" s="477"/>
      <c r="AI297" s="477"/>
      <c r="AJ297" s="477"/>
    </row>
    <row r="298" spans="2:36" ht="15" outlineLevel="1">
      <c r="B298" s="414">
        <v>292</v>
      </c>
      <c r="C298" s="442"/>
      <c r="D298" s="404"/>
      <c r="E298" s="405"/>
      <c r="F298" s="407"/>
      <c r="G298" s="499"/>
      <c r="H298" s="500"/>
      <c r="I298" s="492"/>
      <c r="J298" s="501"/>
      <c r="K298" s="498"/>
      <c r="L298" s="498"/>
      <c r="M298" s="502"/>
      <c r="N298" s="368"/>
      <c r="O298" s="368"/>
      <c r="P298" s="81"/>
      <c r="Q298" s="81"/>
      <c r="R298" s="403"/>
      <c r="S298" s="404"/>
      <c r="T298" s="405"/>
      <c r="U298" s="406"/>
      <c r="V298" s="407"/>
      <c r="W298" s="407"/>
      <c r="X298" s="435"/>
      <c r="Y298" s="436"/>
      <c r="AA298" s="477"/>
      <c r="AB298" s="477"/>
      <c r="AC298" s="477"/>
      <c r="AD298" s="477"/>
      <c r="AE298" s="477"/>
      <c r="AF298" s="477"/>
      <c r="AG298" s="477"/>
      <c r="AH298" s="477"/>
      <c r="AI298" s="477"/>
      <c r="AJ298" s="477"/>
    </row>
    <row r="299" spans="2:36" ht="15" outlineLevel="1">
      <c r="B299" s="414">
        <v>293</v>
      </c>
      <c r="C299" s="442"/>
      <c r="D299" s="404"/>
      <c r="E299" s="405"/>
      <c r="F299" s="407"/>
      <c r="G299" s="499"/>
      <c r="H299" s="500"/>
      <c r="I299" s="492"/>
      <c r="J299" s="501"/>
      <c r="K299" s="498"/>
      <c r="L299" s="498"/>
      <c r="M299" s="502"/>
      <c r="N299" s="368"/>
      <c r="O299" s="368"/>
      <c r="P299" s="81"/>
      <c r="Q299" s="81"/>
      <c r="R299" s="403"/>
      <c r="S299" s="404"/>
      <c r="T299" s="405"/>
      <c r="U299" s="406"/>
      <c r="V299" s="407"/>
      <c r="W299" s="407"/>
      <c r="X299" s="435"/>
      <c r="Y299" s="436"/>
      <c r="AA299" s="477"/>
      <c r="AB299" s="477"/>
      <c r="AC299" s="477"/>
      <c r="AD299" s="477"/>
      <c r="AE299" s="477"/>
      <c r="AF299" s="477"/>
      <c r="AG299" s="477"/>
      <c r="AH299" s="477"/>
      <c r="AI299" s="477"/>
      <c r="AJ299" s="477"/>
    </row>
    <row r="300" spans="2:36" ht="15" outlineLevel="1">
      <c r="B300" s="414">
        <v>294</v>
      </c>
      <c r="C300" s="442"/>
      <c r="D300" s="404"/>
      <c r="E300" s="405"/>
      <c r="F300" s="407"/>
      <c r="G300" s="499"/>
      <c r="H300" s="500"/>
      <c r="I300" s="492"/>
      <c r="J300" s="501"/>
      <c r="K300" s="498"/>
      <c r="L300" s="498"/>
      <c r="M300" s="502"/>
      <c r="N300" s="368"/>
      <c r="O300" s="368"/>
      <c r="P300" s="81"/>
      <c r="Q300" s="81"/>
      <c r="R300" s="403"/>
      <c r="S300" s="404"/>
      <c r="T300" s="405"/>
      <c r="U300" s="406"/>
      <c r="V300" s="407"/>
      <c r="W300" s="407"/>
      <c r="X300" s="435"/>
      <c r="Y300" s="436"/>
      <c r="AA300" s="477"/>
      <c r="AB300" s="477"/>
      <c r="AC300" s="477"/>
      <c r="AD300" s="477"/>
      <c r="AE300" s="477"/>
      <c r="AF300" s="477"/>
      <c r="AG300" s="477"/>
      <c r="AH300" s="477"/>
      <c r="AI300" s="477"/>
      <c r="AJ300" s="477"/>
    </row>
    <row r="301" spans="2:36" ht="15" outlineLevel="1">
      <c r="B301" s="414">
        <v>295</v>
      </c>
      <c r="C301" s="442"/>
      <c r="D301" s="404"/>
      <c r="E301" s="405"/>
      <c r="F301" s="407"/>
      <c r="G301" s="499"/>
      <c r="H301" s="500"/>
      <c r="I301" s="492"/>
      <c r="J301" s="501"/>
      <c r="K301" s="498"/>
      <c r="L301" s="498"/>
      <c r="M301" s="502"/>
      <c r="N301" s="368"/>
      <c r="O301" s="368"/>
      <c r="P301" s="81"/>
      <c r="Q301" s="81"/>
      <c r="R301" s="403"/>
      <c r="S301" s="404"/>
      <c r="T301" s="405"/>
      <c r="U301" s="406"/>
      <c r="V301" s="407"/>
      <c r="W301" s="407"/>
      <c r="X301" s="435"/>
      <c r="Y301" s="436"/>
      <c r="AA301" s="477"/>
      <c r="AB301" s="477"/>
      <c r="AC301" s="477"/>
      <c r="AD301" s="477"/>
      <c r="AE301" s="477"/>
      <c r="AF301" s="477"/>
      <c r="AG301" s="477"/>
      <c r="AH301" s="477"/>
      <c r="AI301" s="477"/>
      <c r="AJ301" s="477"/>
    </row>
    <row r="302" spans="2:36" ht="15" outlineLevel="1">
      <c r="B302" s="414">
        <v>296</v>
      </c>
      <c r="C302" s="442"/>
      <c r="D302" s="404"/>
      <c r="E302" s="405"/>
      <c r="F302" s="407"/>
      <c r="G302" s="499"/>
      <c r="H302" s="500"/>
      <c r="I302" s="492"/>
      <c r="J302" s="501"/>
      <c r="K302" s="498"/>
      <c r="L302" s="498"/>
      <c r="M302" s="502"/>
      <c r="N302" s="368"/>
      <c r="O302" s="368"/>
      <c r="P302" s="81"/>
      <c r="Q302" s="81"/>
      <c r="R302" s="403"/>
      <c r="S302" s="404"/>
      <c r="T302" s="405"/>
      <c r="U302" s="406"/>
      <c r="V302" s="407"/>
      <c r="W302" s="407"/>
      <c r="X302" s="435"/>
      <c r="Y302" s="436"/>
      <c r="AA302" s="477"/>
      <c r="AB302" s="477"/>
      <c r="AC302" s="477"/>
      <c r="AD302" s="477"/>
      <c r="AE302" s="477"/>
      <c r="AF302" s="477"/>
      <c r="AG302" s="477"/>
      <c r="AH302" s="477"/>
      <c r="AI302" s="477"/>
      <c r="AJ302" s="477"/>
    </row>
    <row r="303" spans="2:36" ht="15" outlineLevel="1">
      <c r="B303" s="414">
        <v>297</v>
      </c>
      <c r="C303" s="442"/>
      <c r="D303" s="404"/>
      <c r="E303" s="405"/>
      <c r="F303" s="407"/>
      <c r="G303" s="499"/>
      <c r="H303" s="500"/>
      <c r="I303" s="492"/>
      <c r="J303" s="501"/>
      <c r="K303" s="498"/>
      <c r="L303" s="498"/>
      <c r="M303" s="502"/>
      <c r="N303" s="368"/>
      <c r="O303" s="368"/>
      <c r="P303" s="81"/>
      <c r="Q303" s="81"/>
      <c r="R303" s="403"/>
      <c r="S303" s="404"/>
      <c r="T303" s="405"/>
      <c r="U303" s="406"/>
      <c r="V303" s="407"/>
      <c r="W303" s="407"/>
      <c r="X303" s="435"/>
      <c r="Y303" s="436"/>
      <c r="AA303" s="477"/>
      <c r="AB303" s="477"/>
      <c r="AC303" s="477"/>
      <c r="AD303" s="477"/>
      <c r="AE303" s="477"/>
      <c r="AF303" s="477"/>
      <c r="AG303" s="477"/>
      <c r="AH303" s="477"/>
      <c r="AI303" s="477"/>
      <c r="AJ303" s="477"/>
    </row>
    <row r="304" spans="2:36" ht="15" outlineLevel="1">
      <c r="B304" s="414">
        <v>298</v>
      </c>
      <c r="C304" s="442"/>
      <c r="D304" s="404"/>
      <c r="E304" s="405"/>
      <c r="F304" s="407"/>
      <c r="G304" s="499"/>
      <c r="H304" s="500"/>
      <c r="I304" s="492"/>
      <c r="J304" s="501"/>
      <c r="K304" s="498"/>
      <c r="L304" s="498"/>
      <c r="M304" s="502"/>
      <c r="N304" s="368"/>
      <c r="O304" s="368"/>
      <c r="P304" s="81"/>
      <c r="Q304" s="81"/>
      <c r="R304" s="403"/>
      <c r="S304" s="404"/>
      <c r="T304" s="405"/>
      <c r="U304" s="406"/>
      <c r="V304" s="407"/>
      <c r="W304" s="407"/>
      <c r="X304" s="435"/>
      <c r="Y304" s="436"/>
      <c r="AA304" s="477"/>
      <c r="AB304" s="477"/>
      <c r="AC304" s="477"/>
      <c r="AD304" s="477"/>
      <c r="AE304" s="477"/>
      <c r="AF304" s="477"/>
      <c r="AG304" s="477"/>
      <c r="AH304" s="477"/>
      <c r="AI304" s="477"/>
      <c r="AJ304" s="477"/>
    </row>
    <row r="305" spans="2:36" ht="15" outlineLevel="1">
      <c r="B305" s="414">
        <v>299</v>
      </c>
      <c r="C305" s="442"/>
      <c r="D305" s="404"/>
      <c r="E305" s="405"/>
      <c r="F305" s="407"/>
      <c r="G305" s="499"/>
      <c r="H305" s="500"/>
      <c r="I305" s="492"/>
      <c r="J305" s="501"/>
      <c r="K305" s="498"/>
      <c r="L305" s="498"/>
      <c r="M305" s="502"/>
      <c r="N305" s="368"/>
      <c r="O305" s="368"/>
      <c r="P305" s="81"/>
      <c r="Q305" s="81"/>
      <c r="R305" s="403"/>
      <c r="S305" s="404"/>
      <c r="T305" s="405"/>
      <c r="U305" s="406"/>
      <c r="V305" s="407"/>
      <c r="W305" s="407"/>
      <c r="X305" s="435"/>
      <c r="Y305" s="436"/>
      <c r="AA305" s="477"/>
      <c r="AB305" s="477"/>
      <c r="AC305" s="477"/>
      <c r="AD305" s="477"/>
      <c r="AE305" s="477"/>
      <c r="AF305" s="477"/>
      <c r="AG305" s="477"/>
      <c r="AH305" s="477"/>
      <c r="AI305" s="477"/>
      <c r="AJ305" s="477"/>
    </row>
    <row r="306" spans="2:36" ht="15" outlineLevel="1">
      <c r="B306" s="414">
        <v>300</v>
      </c>
      <c r="C306" s="442"/>
      <c r="D306" s="404"/>
      <c r="E306" s="405"/>
      <c r="F306" s="407"/>
      <c r="G306" s="499"/>
      <c r="H306" s="500"/>
      <c r="I306" s="492"/>
      <c r="J306" s="501"/>
      <c r="K306" s="498"/>
      <c r="L306" s="498"/>
      <c r="M306" s="502"/>
      <c r="N306" s="368"/>
      <c r="O306" s="368"/>
      <c r="P306" s="81"/>
      <c r="Q306" s="81"/>
      <c r="R306" s="403"/>
      <c r="S306" s="404"/>
      <c r="T306" s="405"/>
      <c r="U306" s="406"/>
      <c r="V306" s="407"/>
      <c r="W306" s="407"/>
      <c r="X306" s="435"/>
      <c r="Y306" s="436"/>
      <c r="AA306" s="477"/>
      <c r="AB306" s="477"/>
      <c r="AC306" s="477"/>
      <c r="AD306" s="477"/>
      <c r="AE306" s="477"/>
      <c r="AF306" s="477"/>
      <c r="AG306" s="477"/>
      <c r="AH306" s="477"/>
      <c r="AI306" s="477"/>
      <c r="AJ306" s="477"/>
    </row>
    <row r="307" spans="2:36" ht="15" outlineLevel="1">
      <c r="B307" s="414">
        <v>301</v>
      </c>
      <c r="C307" s="442"/>
      <c r="D307" s="404"/>
      <c r="E307" s="405"/>
      <c r="F307" s="407"/>
      <c r="G307" s="499"/>
      <c r="H307" s="500"/>
      <c r="I307" s="492"/>
      <c r="J307" s="501"/>
      <c r="K307" s="498"/>
      <c r="L307" s="498"/>
      <c r="M307" s="502"/>
      <c r="N307" s="368"/>
      <c r="O307" s="368"/>
      <c r="P307" s="81"/>
      <c r="Q307" s="81"/>
      <c r="R307" s="403"/>
      <c r="S307" s="404"/>
      <c r="T307" s="405"/>
      <c r="U307" s="406"/>
      <c r="V307" s="407"/>
      <c r="W307" s="407"/>
      <c r="X307" s="435"/>
      <c r="Y307" s="436"/>
      <c r="AA307" s="477"/>
      <c r="AB307" s="477"/>
      <c r="AC307" s="477"/>
      <c r="AD307" s="477"/>
      <c r="AE307" s="477"/>
      <c r="AF307" s="477"/>
      <c r="AG307" s="477"/>
      <c r="AH307" s="477"/>
      <c r="AI307" s="477"/>
      <c r="AJ307" s="477"/>
    </row>
    <row r="308" spans="2:36" ht="15" outlineLevel="1">
      <c r="B308" s="414">
        <v>302</v>
      </c>
      <c r="C308" s="442"/>
      <c r="D308" s="404"/>
      <c r="E308" s="405"/>
      <c r="F308" s="407"/>
      <c r="G308" s="499"/>
      <c r="H308" s="500"/>
      <c r="I308" s="492"/>
      <c r="J308" s="501"/>
      <c r="K308" s="498"/>
      <c r="L308" s="498"/>
      <c r="M308" s="502"/>
      <c r="N308" s="368"/>
      <c r="O308" s="368"/>
      <c r="P308" s="81"/>
      <c r="Q308" s="81"/>
      <c r="R308" s="403"/>
      <c r="S308" s="404"/>
      <c r="T308" s="405"/>
      <c r="U308" s="406"/>
      <c r="V308" s="407"/>
      <c r="W308" s="407"/>
      <c r="X308" s="435"/>
      <c r="Y308" s="436"/>
      <c r="AA308" s="477"/>
      <c r="AB308" s="477"/>
      <c r="AC308" s="477"/>
      <c r="AD308" s="477"/>
      <c r="AE308" s="477"/>
      <c r="AF308" s="477"/>
      <c r="AG308" s="477"/>
      <c r="AH308" s="477"/>
      <c r="AI308" s="477"/>
      <c r="AJ308" s="477"/>
    </row>
    <row r="309" spans="2:36" ht="15" outlineLevel="1">
      <c r="B309" s="414">
        <v>303</v>
      </c>
      <c r="C309" s="442"/>
      <c r="D309" s="404"/>
      <c r="E309" s="405"/>
      <c r="F309" s="407"/>
      <c r="G309" s="499"/>
      <c r="H309" s="500"/>
      <c r="I309" s="492"/>
      <c r="J309" s="501"/>
      <c r="K309" s="498"/>
      <c r="L309" s="498"/>
      <c r="M309" s="502"/>
      <c r="N309" s="368"/>
      <c r="O309" s="368"/>
      <c r="P309" s="81"/>
      <c r="Q309" s="81"/>
      <c r="R309" s="403"/>
      <c r="S309" s="404"/>
      <c r="T309" s="405"/>
      <c r="U309" s="406"/>
      <c r="V309" s="407"/>
      <c r="W309" s="407"/>
      <c r="X309" s="435"/>
      <c r="Y309" s="436"/>
      <c r="AA309" s="477"/>
      <c r="AB309" s="477"/>
      <c r="AC309" s="477"/>
      <c r="AD309" s="477"/>
      <c r="AE309" s="477"/>
      <c r="AF309" s="477"/>
      <c r="AG309" s="477"/>
      <c r="AH309" s="477"/>
      <c r="AI309" s="477"/>
      <c r="AJ309" s="477"/>
    </row>
    <row r="310" spans="2:36" ht="15" outlineLevel="1">
      <c r="B310" s="414">
        <v>304</v>
      </c>
      <c r="C310" s="442"/>
      <c r="D310" s="404"/>
      <c r="E310" s="405"/>
      <c r="F310" s="407"/>
      <c r="G310" s="499"/>
      <c r="H310" s="500"/>
      <c r="I310" s="492"/>
      <c r="J310" s="501"/>
      <c r="K310" s="498"/>
      <c r="L310" s="498"/>
      <c r="M310" s="502"/>
      <c r="N310" s="368"/>
      <c r="O310" s="368"/>
      <c r="P310" s="81"/>
      <c r="Q310" s="81"/>
      <c r="R310" s="403"/>
      <c r="S310" s="404"/>
      <c r="T310" s="405"/>
      <c r="U310" s="406"/>
      <c r="V310" s="407"/>
      <c r="W310" s="407"/>
      <c r="X310" s="435"/>
      <c r="Y310" s="436"/>
      <c r="AA310" s="477"/>
      <c r="AB310" s="477"/>
      <c r="AC310" s="477"/>
      <c r="AD310" s="477"/>
      <c r="AE310" s="477"/>
      <c r="AF310" s="477"/>
      <c r="AG310" s="477"/>
      <c r="AH310" s="477"/>
      <c r="AI310" s="477"/>
      <c r="AJ310" s="477"/>
    </row>
    <row r="311" spans="2:36" ht="15" outlineLevel="1">
      <c r="B311" s="414">
        <v>305</v>
      </c>
      <c r="C311" s="442"/>
      <c r="D311" s="404"/>
      <c r="E311" s="405"/>
      <c r="F311" s="407"/>
      <c r="G311" s="499"/>
      <c r="H311" s="500"/>
      <c r="I311" s="492"/>
      <c r="J311" s="501"/>
      <c r="K311" s="498"/>
      <c r="L311" s="498"/>
      <c r="M311" s="502"/>
      <c r="N311" s="368"/>
      <c r="O311" s="368"/>
      <c r="P311" s="81"/>
      <c r="Q311" s="81"/>
      <c r="R311" s="403"/>
      <c r="S311" s="404"/>
      <c r="T311" s="405"/>
      <c r="U311" s="406"/>
      <c r="V311" s="407"/>
      <c r="W311" s="407"/>
      <c r="X311" s="435"/>
      <c r="Y311" s="436"/>
      <c r="AA311" s="477"/>
      <c r="AB311" s="477"/>
      <c r="AC311" s="477"/>
      <c r="AD311" s="477"/>
      <c r="AE311" s="477"/>
      <c r="AF311" s="477"/>
      <c r="AG311" s="477"/>
      <c r="AH311" s="477"/>
      <c r="AI311" s="477"/>
      <c r="AJ311" s="477"/>
    </row>
    <row r="312" spans="2:36" ht="15" outlineLevel="1">
      <c r="B312" s="414">
        <v>306</v>
      </c>
      <c r="C312" s="442"/>
      <c r="D312" s="404"/>
      <c r="E312" s="405"/>
      <c r="F312" s="407"/>
      <c r="G312" s="499"/>
      <c r="H312" s="500"/>
      <c r="I312" s="492"/>
      <c r="J312" s="501"/>
      <c r="K312" s="498"/>
      <c r="L312" s="498"/>
      <c r="M312" s="502"/>
      <c r="N312" s="368"/>
      <c r="O312" s="368"/>
      <c r="P312" s="81"/>
      <c r="Q312" s="81"/>
      <c r="R312" s="403"/>
      <c r="S312" s="404"/>
      <c r="T312" s="405"/>
      <c r="U312" s="406"/>
      <c r="V312" s="407"/>
      <c r="W312" s="407"/>
      <c r="X312" s="435"/>
      <c r="Y312" s="436"/>
      <c r="AA312" s="477"/>
      <c r="AB312" s="477"/>
      <c r="AC312" s="477"/>
      <c r="AD312" s="477"/>
      <c r="AE312" s="477"/>
      <c r="AF312" s="477"/>
      <c r="AG312" s="477"/>
      <c r="AH312" s="477"/>
      <c r="AI312" s="477"/>
      <c r="AJ312" s="477"/>
    </row>
    <row r="313" spans="2:36" ht="15" outlineLevel="1">
      <c r="B313" s="414">
        <v>307</v>
      </c>
      <c r="C313" s="442"/>
      <c r="D313" s="404"/>
      <c r="E313" s="405"/>
      <c r="F313" s="407"/>
      <c r="G313" s="499"/>
      <c r="H313" s="500"/>
      <c r="I313" s="492"/>
      <c r="J313" s="501"/>
      <c r="K313" s="498"/>
      <c r="L313" s="498"/>
      <c r="M313" s="502"/>
      <c r="N313" s="368"/>
      <c r="O313" s="368"/>
      <c r="P313" s="81"/>
      <c r="Q313" s="81"/>
      <c r="R313" s="403"/>
      <c r="S313" s="404"/>
      <c r="T313" s="405"/>
      <c r="U313" s="406"/>
      <c r="V313" s="407"/>
      <c r="W313" s="407"/>
      <c r="X313" s="435"/>
      <c r="Y313" s="436"/>
      <c r="AA313" s="477"/>
      <c r="AB313" s="477"/>
      <c r="AC313" s="477"/>
      <c r="AD313" s="477"/>
      <c r="AE313" s="477"/>
      <c r="AF313" s="477"/>
      <c r="AG313" s="477"/>
      <c r="AH313" s="477"/>
      <c r="AI313" s="477"/>
      <c r="AJ313" s="477"/>
    </row>
    <row r="314" spans="2:36" ht="15" outlineLevel="1">
      <c r="B314" s="414">
        <v>308</v>
      </c>
      <c r="C314" s="442"/>
      <c r="D314" s="404"/>
      <c r="E314" s="405"/>
      <c r="F314" s="407"/>
      <c r="G314" s="499"/>
      <c r="H314" s="500"/>
      <c r="I314" s="492"/>
      <c r="J314" s="501"/>
      <c r="K314" s="498"/>
      <c r="L314" s="498"/>
      <c r="M314" s="502"/>
      <c r="N314" s="368"/>
      <c r="O314" s="368"/>
      <c r="P314" s="81"/>
      <c r="Q314" s="81"/>
      <c r="R314" s="403"/>
      <c r="S314" s="404"/>
      <c r="T314" s="405"/>
      <c r="U314" s="406"/>
      <c r="V314" s="407"/>
      <c r="W314" s="407"/>
      <c r="X314" s="435"/>
      <c r="Y314" s="436"/>
      <c r="AA314" s="477"/>
      <c r="AB314" s="477"/>
      <c r="AC314" s="477"/>
      <c r="AD314" s="477"/>
      <c r="AE314" s="477"/>
      <c r="AF314" s="477"/>
      <c r="AG314" s="477"/>
      <c r="AH314" s="477"/>
      <c r="AI314" s="477"/>
      <c r="AJ314" s="477"/>
    </row>
    <row r="315" spans="2:36" ht="15" outlineLevel="1">
      <c r="B315" s="414">
        <v>309</v>
      </c>
      <c r="C315" s="442"/>
      <c r="D315" s="404"/>
      <c r="E315" s="405"/>
      <c r="F315" s="407"/>
      <c r="G315" s="499"/>
      <c r="H315" s="500"/>
      <c r="I315" s="492"/>
      <c r="J315" s="501"/>
      <c r="K315" s="498"/>
      <c r="L315" s="498"/>
      <c r="M315" s="502"/>
      <c r="N315" s="368"/>
      <c r="O315" s="368"/>
      <c r="P315" s="81"/>
      <c r="Q315" s="81"/>
      <c r="R315" s="403"/>
      <c r="S315" s="404"/>
      <c r="T315" s="405"/>
      <c r="U315" s="406"/>
      <c r="V315" s="407"/>
      <c r="W315" s="407"/>
      <c r="X315" s="435"/>
      <c r="Y315" s="436"/>
      <c r="AA315" s="477"/>
      <c r="AB315" s="477"/>
      <c r="AC315" s="477"/>
      <c r="AD315" s="477"/>
      <c r="AE315" s="477"/>
      <c r="AF315" s="477"/>
      <c r="AG315" s="477"/>
      <c r="AH315" s="477"/>
      <c r="AI315" s="477"/>
      <c r="AJ315" s="477"/>
    </row>
    <row r="316" spans="2:36" ht="15" outlineLevel="1">
      <c r="B316" s="414">
        <v>310</v>
      </c>
      <c r="C316" s="442"/>
      <c r="D316" s="404"/>
      <c r="E316" s="405"/>
      <c r="F316" s="407"/>
      <c r="G316" s="499"/>
      <c r="H316" s="500"/>
      <c r="I316" s="492"/>
      <c r="J316" s="501"/>
      <c r="K316" s="498"/>
      <c r="L316" s="498"/>
      <c r="M316" s="502"/>
      <c r="N316" s="368"/>
      <c r="O316" s="368"/>
      <c r="P316" s="81"/>
      <c r="Q316" s="81"/>
      <c r="R316" s="403"/>
      <c r="S316" s="404"/>
      <c r="T316" s="405"/>
      <c r="U316" s="406"/>
      <c r="V316" s="407"/>
      <c r="W316" s="407"/>
      <c r="X316" s="435"/>
      <c r="Y316" s="436"/>
      <c r="AA316" s="477"/>
      <c r="AB316" s="477"/>
      <c r="AC316" s="477"/>
      <c r="AD316" s="477"/>
      <c r="AE316" s="477"/>
      <c r="AF316" s="477"/>
      <c r="AG316" s="477"/>
      <c r="AH316" s="477"/>
      <c r="AI316" s="477"/>
      <c r="AJ316" s="477"/>
    </row>
    <row r="317" spans="2:36" ht="15" outlineLevel="1">
      <c r="B317" s="414">
        <v>311</v>
      </c>
      <c r="C317" s="442"/>
      <c r="D317" s="404"/>
      <c r="E317" s="405"/>
      <c r="F317" s="407"/>
      <c r="G317" s="499"/>
      <c r="H317" s="500"/>
      <c r="I317" s="492"/>
      <c r="J317" s="501"/>
      <c r="K317" s="498"/>
      <c r="L317" s="498"/>
      <c r="M317" s="502"/>
      <c r="N317" s="368"/>
      <c r="O317" s="368"/>
      <c r="P317" s="81"/>
      <c r="Q317" s="81"/>
      <c r="R317" s="403"/>
      <c r="S317" s="404"/>
      <c r="T317" s="405"/>
      <c r="U317" s="406"/>
      <c r="V317" s="407"/>
      <c r="W317" s="407"/>
      <c r="X317" s="435"/>
      <c r="Y317" s="436"/>
      <c r="AA317" s="477"/>
      <c r="AB317" s="477"/>
      <c r="AC317" s="477"/>
      <c r="AD317" s="477"/>
      <c r="AE317" s="477"/>
      <c r="AF317" s="477"/>
      <c r="AG317" s="477"/>
      <c r="AH317" s="477"/>
      <c r="AI317" s="477"/>
      <c r="AJ317" s="477"/>
    </row>
    <row r="318" spans="2:36" ht="15" outlineLevel="1">
      <c r="B318" s="414">
        <v>312</v>
      </c>
      <c r="C318" s="442"/>
      <c r="D318" s="404"/>
      <c r="E318" s="405"/>
      <c r="F318" s="407"/>
      <c r="G318" s="499"/>
      <c r="H318" s="500"/>
      <c r="I318" s="492"/>
      <c r="J318" s="501"/>
      <c r="K318" s="498"/>
      <c r="L318" s="498"/>
      <c r="M318" s="502"/>
      <c r="N318" s="368"/>
      <c r="O318" s="368"/>
      <c r="P318" s="81"/>
      <c r="Q318" s="81"/>
      <c r="R318" s="403"/>
      <c r="S318" s="404"/>
      <c r="T318" s="405"/>
      <c r="U318" s="406"/>
      <c r="V318" s="407"/>
      <c r="W318" s="407"/>
      <c r="X318" s="435"/>
      <c r="Y318" s="436"/>
      <c r="AA318" s="477"/>
      <c r="AB318" s="477"/>
      <c r="AC318" s="477"/>
      <c r="AD318" s="477"/>
      <c r="AE318" s="477"/>
      <c r="AF318" s="477"/>
      <c r="AG318" s="477"/>
      <c r="AH318" s="477"/>
      <c r="AI318" s="477"/>
      <c r="AJ318" s="477"/>
    </row>
    <row r="319" spans="2:36" ht="15" outlineLevel="1">
      <c r="B319" s="414">
        <v>313</v>
      </c>
      <c r="C319" s="442"/>
      <c r="D319" s="404"/>
      <c r="E319" s="405"/>
      <c r="F319" s="407"/>
      <c r="G319" s="499"/>
      <c r="H319" s="500"/>
      <c r="I319" s="492"/>
      <c r="J319" s="501"/>
      <c r="K319" s="498"/>
      <c r="L319" s="498"/>
      <c r="M319" s="502"/>
      <c r="N319" s="368"/>
      <c r="O319" s="368"/>
      <c r="P319" s="81"/>
      <c r="Q319" s="81"/>
      <c r="R319" s="403"/>
      <c r="S319" s="404"/>
      <c r="T319" s="405"/>
      <c r="U319" s="406"/>
      <c r="V319" s="407"/>
      <c r="W319" s="407"/>
      <c r="X319" s="435"/>
      <c r="Y319" s="436"/>
      <c r="AA319" s="477"/>
      <c r="AB319" s="477"/>
      <c r="AC319" s="477"/>
      <c r="AD319" s="477"/>
      <c r="AE319" s="477"/>
      <c r="AF319" s="477"/>
      <c r="AG319" s="477"/>
      <c r="AH319" s="477"/>
      <c r="AI319" s="477"/>
      <c r="AJ319" s="477"/>
    </row>
    <row r="320" spans="2:36" ht="15" outlineLevel="1">
      <c r="B320" s="414">
        <v>314</v>
      </c>
      <c r="C320" s="442"/>
      <c r="D320" s="404"/>
      <c r="E320" s="405"/>
      <c r="F320" s="407"/>
      <c r="G320" s="499"/>
      <c r="H320" s="500"/>
      <c r="I320" s="492"/>
      <c r="J320" s="501"/>
      <c r="K320" s="498"/>
      <c r="L320" s="498"/>
      <c r="M320" s="502"/>
      <c r="N320" s="368"/>
      <c r="O320" s="368"/>
      <c r="P320" s="81"/>
      <c r="Q320" s="81"/>
      <c r="R320" s="403"/>
      <c r="S320" s="404"/>
      <c r="T320" s="405"/>
      <c r="U320" s="406"/>
      <c r="V320" s="407"/>
      <c r="W320" s="407"/>
      <c r="X320" s="435"/>
      <c r="Y320" s="436"/>
      <c r="AA320" s="477"/>
      <c r="AB320" s="477"/>
      <c r="AC320" s="477"/>
      <c r="AD320" s="477"/>
      <c r="AE320" s="477"/>
      <c r="AF320" s="477"/>
      <c r="AG320" s="477"/>
      <c r="AH320" s="477"/>
      <c r="AI320" s="477"/>
      <c r="AJ320" s="477"/>
    </row>
    <row r="321" spans="2:37" ht="15" outlineLevel="1">
      <c r="B321" s="414">
        <v>315</v>
      </c>
      <c r="C321" s="442"/>
      <c r="D321" s="404"/>
      <c r="E321" s="405"/>
      <c r="F321" s="407"/>
      <c r="G321" s="499"/>
      <c r="H321" s="500"/>
      <c r="I321" s="492"/>
      <c r="J321" s="501"/>
      <c r="K321" s="498"/>
      <c r="L321" s="498"/>
      <c r="M321" s="502"/>
      <c r="N321" s="368"/>
      <c r="O321" s="368"/>
      <c r="P321" s="81"/>
      <c r="Q321" s="81"/>
      <c r="R321" s="403"/>
      <c r="S321" s="404"/>
      <c r="T321" s="405"/>
      <c r="U321" s="406"/>
      <c r="V321" s="407"/>
      <c r="W321" s="407"/>
      <c r="X321" s="435"/>
      <c r="Y321" s="436"/>
      <c r="AA321" s="477"/>
      <c r="AB321" s="477"/>
      <c r="AC321" s="477"/>
      <c r="AD321" s="477"/>
      <c r="AE321" s="477"/>
      <c r="AF321" s="477"/>
      <c r="AG321" s="477"/>
      <c r="AH321" s="477"/>
      <c r="AI321" s="477"/>
      <c r="AJ321" s="477"/>
    </row>
    <row r="322" spans="2:37" ht="15" outlineLevel="1">
      <c r="B322" s="414">
        <v>316</v>
      </c>
      <c r="C322" s="442"/>
      <c r="D322" s="404"/>
      <c r="E322" s="405"/>
      <c r="F322" s="407"/>
      <c r="G322" s="499"/>
      <c r="H322" s="500"/>
      <c r="I322" s="492"/>
      <c r="J322" s="501"/>
      <c r="K322" s="498"/>
      <c r="L322" s="498"/>
      <c r="M322" s="502"/>
      <c r="N322" s="368"/>
      <c r="O322" s="368"/>
      <c r="P322" s="81"/>
      <c r="Q322" s="81"/>
      <c r="R322" s="403"/>
      <c r="S322" s="404"/>
      <c r="T322" s="405"/>
      <c r="U322" s="406"/>
      <c r="V322" s="407"/>
      <c r="W322" s="407"/>
      <c r="X322" s="435"/>
      <c r="Y322" s="436"/>
      <c r="AA322" s="477"/>
      <c r="AB322" s="477"/>
      <c r="AC322" s="477"/>
      <c r="AD322" s="477"/>
      <c r="AE322" s="477"/>
      <c r="AF322" s="477"/>
      <c r="AG322" s="477"/>
      <c r="AH322" s="477"/>
      <c r="AI322" s="477"/>
      <c r="AJ322" s="477"/>
    </row>
    <row r="323" spans="2:37" ht="15" outlineLevel="1">
      <c r="B323" s="414">
        <v>317</v>
      </c>
      <c r="C323" s="442"/>
      <c r="D323" s="404"/>
      <c r="E323" s="405"/>
      <c r="F323" s="407"/>
      <c r="G323" s="499"/>
      <c r="H323" s="500"/>
      <c r="I323" s="492"/>
      <c r="J323" s="501"/>
      <c r="K323" s="498"/>
      <c r="L323" s="498"/>
      <c r="M323" s="502"/>
      <c r="N323" s="368"/>
      <c r="O323" s="368"/>
      <c r="P323" s="81"/>
      <c r="Q323" s="81"/>
      <c r="R323" s="403"/>
      <c r="S323" s="404"/>
      <c r="T323" s="405"/>
      <c r="U323" s="406"/>
      <c r="V323" s="407"/>
      <c r="W323" s="407"/>
      <c r="X323" s="435"/>
      <c r="Y323" s="436"/>
      <c r="AA323" s="477"/>
      <c r="AB323" s="477"/>
      <c r="AC323" s="477"/>
      <c r="AD323" s="477"/>
      <c r="AE323" s="477"/>
      <c r="AF323" s="477"/>
      <c r="AG323" s="477"/>
      <c r="AH323" s="477"/>
      <c r="AI323" s="477"/>
      <c r="AJ323" s="477"/>
    </row>
    <row r="324" spans="2:37" ht="15" outlineLevel="1">
      <c r="B324" s="414">
        <v>318</v>
      </c>
      <c r="C324" s="442"/>
      <c r="D324" s="404"/>
      <c r="E324" s="405"/>
      <c r="F324" s="407"/>
      <c r="G324" s="499"/>
      <c r="H324" s="500"/>
      <c r="I324" s="492"/>
      <c r="J324" s="501"/>
      <c r="K324" s="498"/>
      <c r="L324" s="498"/>
      <c r="M324" s="502"/>
      <c r="N324" s="368"/>
      <c r="O324" s="368"/>
      <c r="P324" s="81"/>
      <c r="Q324" s="81"/>
      <c r="R324" s="403"/>
      <c r="S324" s="404"/>
      <c r="T324" s="405"/>
      <c r="U324" s="406"/>
      <c r="V324" s="407"/>
      <c r="W324" s="407"/>
      <c r="X324" s="435"/>
      <c r="Y324" s="436"/>
      <c r="AA324" s="477"/>
      <c r="AB324" s="477"/>
      <c r="AC324" s="477"/>
      <c r="AD324" s="477"/>
      <c r="AE324" s="477"/>
      <c r="AF324" s="477"/>
      <c r="AG324" s="477"/>
      <c r="AH324" s="477"/>
      <c r="AI324" s="477"/>
      <c r="AJ324" s="477"/>
    </row>
    <row r="325" spans="2:37" ht="15" outlineLevel="1">
      <c r="B325" s="414">
        <v>319</v>
      </c>
      <c r="C325" s="442"/>
      <c r="D325" s="404"/>
      <c r="E325" s="405"/>
      <c r="F325" s="407"/>
      <c r="G325" s="499"/>
      <c r="H325" s="500"/>
      <c r="I325" s="492"/>
      <c r="J325" s="501"/>
      <c r="K325" s="498"/>
      <c r="L325" s="498"/>
      <c r="M325" s="502"/>
      <c r="N325" s="368"/>
      <c r="O325" s="368"/>
      <c r="P325" s="81"/>
      <c r="Q325" s="81"/>
      <c r="R325" s="403"/>
      <c r="S325" s="404"/>
      <c r="T325" s="405"/>
      <c r="U325" s="406"/>
      <c r="V325" s="407"/>
      <c r="W325" s="407"/>
      <c r="X325" s="435"/>
      <c r="Y325" s="436"/>
      <c r="AA325" s="477"/>
      <c r="AB325" s="477"/>
      <c r="AC325" s="477"/>
      <c r="AD325" s="477"/>
      <c r="AE325" s="477"/>
      <c r="AF325" s="477"/>
      <c r="AG325" s="477"/>
      <c r="AH325" s="477"/>
      <c r="AI325" s="477"/>
      <c r="AJ325" s="477"/>
    </row>
    <row r="326" spans="2:37" ht="15" outlineLevel="1">
      <c r="B326" s="414">
        <v>320</v>
      </c>
      <c r="C326" s="442"/>
      <c r="D326" s="404"/>
      <c r="E326" s="405"/>
      <c r="F326" s="407"/>
      <c r="G326" s="499"/>
      <c r="H326" s="500"/>
      <c r="I326" s="492"/>
      <c r="J326" s="501"/>
      <c r="K326" s="503"/>
      <c r="L326" s="498"/>
      <c r="M326" s="502"/>
      <c r="N326" s="368"/>
      <c r="O326" s="368"/>
      <c r="P326" s="81"/>
      <c r="Q326" s="81"/>
      <c r="R326" s="403"/>
      <c r="S326" s="404"/>
      <c r="T326" s="405"/>
      <c r="U326" s="406"/>
      <c r="V326" s="407"/>
      <c r="W326" s="407"/>
      <c r="X326" s="435"/>
      <c r="Y326" s="436"/>
      <c r="AA326" s="477"/>
      <c r="AB326" s="477"/>
      <c r="AC326" s="477"/>
      <c r="AD326" s="477"/>
      <c r="AE326" s="477"/>
      <c r="AF326" s="477"/>
      <c r="AG326" s="477"/>
      <c r="AH326" s="477"/>
      <c r="AI326" s="477"/>
      <c r="AJ326" s="477"/>
    </row>
    <row r="327" spans="2:37" ht="15" outlineLevel="1">
      <c r="B327" s="414">
        <v>321</v>
      </c>
      <c r="C327" s="442"/>
      <c r="D327" s="404"/>
      <c r="E327" s="405"/>
      <c r="F327" s="407"/>
      <c r="G327" s="499"/>
      <c r="H327" s="500"/>
      <c r="I327" s="492"/>
      <c r="J327" s="501"/>
      <c r="K327" s="498"/>
      <c r="L327" s="498"/>
      <c r="M327" s="502"/>
      <c r="N327" s="368"/>
      <c r="O327" s="368"/>
      <c r="P327" s="81"/>
      <c r="Q327" s="81"/>
      <c r="R327" s="403"/>
      <c r="S327" s="404"/>
      <c r="T327" s="405"/>
      <c r="U327" s="406"/>
      <c r="V327" s="407"/>
      <c r="W327" s="407"/>
      <c r="X327" s="435"/>
      <c r="Y327" s="436"/>
      <c r="AA327" s="477"/>
      <c r="AB327" s="477"/>
      <c r="AC327" s="477"/>
      <c r="AD327" s="477"/>
      <c r="AE327" s="477"/>
      <c r="AF327" s="477"/>
      <c r="AG327" s="477"/>
      <c r="AH327" s="477"/>
      <c r="AI327" s="477"/>
      <c r="AJ327" s="477"/>
    </row>
    <row r="328" spans="2:37" ht="15" outlineLevel="1">
      <c r="B328" s="414">
        <v>322</v>
      </c>
      <c r="C328" s="442"/>
      <c r="D328" s="404"/>
      <c r="E328" s="405"/>
      <c r="F328" s="407"/>
      <c r="G328" s="499"/>
      <c r="H328" s="500"/>
      <c r="I328" s="492"/>
      <c r="J328" s="501"/>
      <c r="K328" s="503"/>
      <c r="L328" s="498"/>
      <c r="M328" s="502"/>
      <c r="N328" s="368"/>
      <c r="O328" s="368"/>
      <c r="P328" s="81"/>
      <c r="Q328" s="81"/>
      <c r="R328" s="403"/>
      <c r="S328" s="404"/>
      <c r="T328" s="405"/>
      <c r="U328" s="406"/>
      <c r="V328" s="407"/>
      <c r="W328" s="407"/>
      <c r="X328" s="435"/>
      <c r="Y328" s="436"/>
      <c r="AA328" s="477"/>
      <c r="AB328" s="477"/>
      <c r="AC328" s="477"/>
      <c r="AD328" s="477"/>
      <c r="AE328" s="477"/>
      <c r="AF328" s="477"/>
      <c r="AG328" s="477"/>
      <c r="AH328" s="477"/>
      <c r="AI328" s="477"/>
      <c r="AJ328" s="477"/>
    </row>
    <row r="329" spans="2:37" ht="15" outlineLevel="1">
      <c r="B329" s="414">
        <v>323</v>
      </c>
      <c r="C329" s="442"/>
      <c r="D329" s="404"/>
      <c r="E329" s="405"/>
      <c r="F329" s="407"/>
      <c r="G329" s="499"/>
      <c r="H329" s="500"/>
      <c r="I329" s="492"/>
      <c r="J329" s="501"/>
      <c r="K329" s="503"/>
      <c r="L329" s="498"/>
      <c r="M329" s="502"/>
      <c r="N329" s="368"/>
      <c r="O329" s="368"/>
      <c r="P329" s="81"/>
      <c r="Q329" s="81"/>
      <c r="R329" s="403"/>
      <c r="S329" s="404"/>
      <c r="T329" s="405"/>
      <c r="U329" s="406"/>
      <c r="V329" s="407"/>
      <c r="W329" s="407"/>
      <c r="X329" s="435"/>
      <c r="Y329" s="436"/>
      <c r="AA329" s="477"/>
      <c r="AB329" s="477"/>
      <c r="AC329" s="477"/>
      <c r="AD329" s="477"/>
      <c r="AE329" s="477"/>
      <c r="AF329" s="477"/>
      <c r="AG329" s="477"/>
      <c r="AH329" s="477"/>
      <c r="AI329" s="477"/>
      <c r="AJ329" s="477"/>
    </row>
    <row r="330" spans="2:37" ht="15" outlineLevel="1">
      <c r="B330" s="414">
        <v>324</v>
      </c>
      <c r="C330" s="442"/>
      <c r="D330" s="404"/>
      <c r="E330" s="405"/>
      <c r="F330" s="407"/>
      <c r="G330" s="499"/>
      <c r="H330" s="500"/>
      <c r="I330" s="492"/>
      <c r="J330" s="501"/>
      <c r="K330" s="498"/>
      <c r="L330" s="498"/>
      <c r="M330" s="502"/>
      <c r="N330" s="368"/>
      <c r="O330" s="368"/>
      <c r="P330" s="81"/>
      <c r="Q330" s="81"/>
      <c r="R330" s="403"/>
      <c r="S330" s="404"/>
      <c r="T330" s="405"/>
      <c r="U330" s="406"/>
      <c r="V330" s="407"/>
      <c r="W330" s="407"/>
      <c r="X330" s="435"/>
      <c r="Y330" s="436"/>
      <c r="AA330" s="477"/>
      <c r="AB330" s="477"/>
      <c r="AC330" s="477"/>
      <c r="AD330" s="477"/>
      <c r="AE330" s="477"/>
      <c r="AF330" s="477"/>
      <c r="AG330" s="477"/>
      <c r="AH330" s="477"/>
      <c r="AI330" s="477"/>
      <c r="AJ330" s="477"/>
    </row>
    <row r="331" spans="2:37" ht="15" outlineLevel="1">
      <c r="B331" s="414">
        <v>325</v>
      </c>
      <c r="C331" s="442"/>
      <c r="D331" s="404"/>
      <c r="E331" s="405"/>
      <c r="F331" s="407"/>
      <c r="G331" s="499"/>
      <c r="H331" s="500"/>
      <c r="I331" s="492"/>
      <c r="J331" s="501"/>
      <c r="K331" s="503"/>
      <c r="L331" s="498"/>
      <c r="M331" s="502"/>
      <c r="N331" s="368"/>
      <c r="O331" s="368"/>
      <c r="P331" s="81"/>
      <c r="Q331" s="81"/>
      <c r="R331" s="403"/>
      <c r="S331" s="404"/>
      <c r="T331" s="405"/>
      <c r="U331" s="406"/>
      <c r="V331" s="407"/>
      <c r="W331" s="407"/>
      <c r="X331" s="435"/>
      <c r="Y331" s="436"/>
      <c r="AA331" s="477"/>
      <c r="AB331" s="477"/>
      <c r="AC331" s="477"/>
      <c r="AD331" s="477"/>
      <c r="AE331" s="477"/>
      <c r="AF331" s="477"/>
      <c r="AG331" s="477"/>
      <c r="AH331" s="477"/>
      <c r="AI331" s="477"/>
      <c r="AJ331" s="477"/>
    </row>
    <row r="332" spans="2:37" ht="15" outlineLevel="1">
      <c r="B332" s="414">
        <v>326</v>
      </c>
      <c r="C332" s="442"/>
      <c r="D332" s="404"/>
      <c r="E332" s="405"/>
      <c r="F332" s="407"/>
      <c r="G332" s="506"/>
      <c r="H332" s="507"/>
      <c r="I332" s="492"/>
      <c r="J332" s="508"/>
      <c r="K332" s="504"/>
      <c r="L332" s="505"/>
      <c r="M332" s="509"/>
      <c r="N332" s="368"/>
      <c r="O332" s="368"/>
      <c r="P332" s="81"/>
      <c r="Q332" s="81"/>
      <c r="R332" s="408"/>
      <c r="S332" s="409"/>
      <c r="T332" s="410"/>
      <c r="U332" s="411"/>
      <c r="V332" s="412"/>
      <c r="W332" s="412"/>
      <c r="X332" s="437"/>
      <c r="Y332" s="438"/>
      <c r="AA332" s="477"/>
      <c r="AB332" s="477"/>
      <c r="AC332" s="477"/>
      <c r="AD332" s="477"/>
      <c r="AE332" s="477"/>
      <c r="AF332" s="477"/>
      <c r="AG332" s="477"/>
      <c r="AH332" s="477"/>
      <c r="AI332" s="477"/>
      <c r="AJ332" s="477"/>
    </row>
    <row r="333" spans="2:37" ht="22" thickBot="1">
      <c r="B333" s="626" t="s">
        <v>158</v>
      </c>
      <c r="C333" s="626"/>
      <c r="D333" s="626"/>
      <c r="E333" s="626"/>
      <c r="F333" s="626"/>
      <c r="G333" s="627"/>
      <c r="H333" s="627"/>
      <c r="I333" s="388"/>
      <c r="J333" s="388" t="s">
        <v>164</v>
      </c>
      <c r="K333" s="388"/>
      <c r="L333" s="388"/>
      <c r="M333" s="388"/>
      <c r="N333" s="388"/>
      <c r="O333" s="388"/>
      <c r="P333" s="388"/>
      <c r="Q333" s="388"/>
      <c r="R333" s="388"/>
      <c r="S333" s="388"/>
      <c r="T333" s="388"/>
      <c r="U333" s="388"/>
      <c r="V333" s="460"/>
      <c r="W333" s="460"/>
      <c r="X333" s="431"/>
      <c r="Y333" s="432"/>
      <c r="AA333" s="487"/>
      <c r="AB333" s="489"/>
      <c r="AC333" s="487"/>
      <c r="AD333" s="489"/>
      <c r="AE333" s="487"/>
      <c r="AF333" s="489"/>
      <c r="AG333" s="487"/>
      <c r="AH333" s="489"/>
      <c r="AI333" s="487"/>
      <c r="AJ333" s="489"/>
      <c r="AK333" s="481"/>
    </row>
    <row r="334" spans="2:37" ht="15" outlineLevel="1">
      <c r="B334" s="476"/>
      <c r="C334" s="464"/>
      <c r="D334" s="465"/>
      <c r="E334" s="466"/>
      <c r="F334" s="466"/>
      <c r="G334" s="467"/>
      <c r="H334" s="370"/>
      <c r="I334" s="367"/>
      <c r="J334" s="263" t="s">
        <v>33</v>
      </c>
      <c r="K334" s="264" t="s">
        <v>155</v>
      </c>
      <c r="L334" s="322" t="s">
        <v>109</v>
      </c>
      <c r="M334" s="359" t="s">
        <v>73</v>
      </c>
      <c r="P334" s="510"/>
      <c r="Q334" s="511"/>
      <c r="R334" s="361" t="s">
        <v>33</v>
      </c>
      <c r="S334" s="362" t="s">
        <v>34</v>
      </c>
      <c r="T334" s="363" t="s">
        <v>91</v>
      </c>
      <c r="U334" s="363" t="s">
        <v>151</v>
      </c>
      <c r="V334" s="418" t="s">
        <v>73</v>
      </c>
      <c r="W334" s="419" t="s">
        <v>148</v>
      </c>
      <c r="X334" s="439"/>
      <c r="Y334" s="440"/>
      <c r="AB334" s="489"/>
      <c r="AD334" s="489"/>
      <c r="AF334" s="489"/>
      <c r="AH334" s="489"/>
      <c r="AJ334" s="489"/>
      <c r="AK334" s="481"/>
    </row>
    <row r="335" spans="2:37" ht="15" outlineLevel="1">
      <c r="B335" s="371"/>
      <c r="C335" s="468"/>
      <c r="D335" s="395" t="s">
        <v>157</v>
      </c>
      <c r="E335" s="394">
        <v>4.1357999999999997</v>
      </c>
      <c r="F335" s="374"/>
      <c r="G335" s="469"/>
      <c r="H335" s="376"/>
      <c r="I335" s="371"/>
      <c r="J335" s="444"/>
      <c r="K335" s="416"/>
      <c r="L335" s="417"/>
      <c r="M335" s="420"/>
      <c r="P335" s="510"/>
      <c r="Q335" s="511"/>
      <c r="R335" s="443"/>
      <c r="S335" s="416"/>
      <c r="T335" s="417"/>
      <c r="U335" s="420"/>
      <c r="V335" s="420"/>
      <c r="W335" s="421"/>
      <c r="X335" s="375"/>
      <c r="Y335" s="376"/>
    </row>
    <row r="336" spans="2:37" ht="15" outlineLevel="1">
      <c r="B336" s="371"/>
      <c r="C336" s="468"/>
      <c r="D336" s="395" t="s">
        <v>156</v>
      </c>
      <c r="E336" s="396">
        <v>42403</v>
      </c>
      <c r="F336" s="374"/>
      <c r="G336" s="469"/>
      <c r="H336" s="376"/>
      <c r="I336" s="371"/>
      <c r="J336" s="444"/>
      <c r="K336" s="416"/>
      <c r="L336" s="417"/>
      <c r="M336" s="420"/>
      <c r="P336" s="510"/>
      <c r="Q336" s="511"/>
      <c r="R336" s="444"/>
      <c r="S336" s="416"/>
      <c r="T336" s="417"/>
      <c r="U336" s="420"/>
      <c r="V336" s="420"/>
      <c r="W336" s="421"/>
      <c r="X336" s="375"/>
      <c r="Y336" s="376"/>
    </row>
    <row r="337" spans="2:25" ht="15" outlineLevel="1">
      <c r="B337" s="371"/>
      <c r="C337" s="468"/>
      <c r="D337" s="373"/>
      <c r="E337" s="375"/>
      <c r="F337" s="374"/>
      <c r="G337" s="469"/>
      <c r="H337" s="376"/>
      <c r="I337" s="371"/>
      <c r="J337" s="444"/>
      <c r="K337" s="416"/>
      <c r="L337" s="417"/>
      <c r="M337" s="420"/>
      <c r="P337" s="510"/>
      <c r="Q337" s="511"/>
      <c r="R337" s="444"/>
      <c r="S337" s="416"/>
      <c r="T337" s="417"/>
      <c r="U337" s="420"/>
      <c r="V337" s="420"/>
      <c r="W337" s="421"/>
      <c r="X337" s="375"/>
      <c r="Y337" s="376"/>
    </row>
    <row r="338" spans="2:25" ht="16" outlineLevel="1" thickBot="1">
      <c r="B338" s="371"/>
      <c r="C338" s="470"/>
      <c r="D338" s="471"/>
      <c r="E338" s="472"/>
      <c r="F338" s="472"/>
      <c r="G338" s="473"/>
      <c r="H338" s="376"/>
      <c r="I338" s="371"/>
      <c r="J338" s="444"/>
      <c r="K338" s="416"/>
      <c r="L338" s="417"/>
      <c r="M338" s="420"/>
      <c r="P338" s="510"/>
      <c r="Q338" s="511"/>
      <c r="R338" s="444"/>
      <c r="S338" s="416"/>
      <c r="T338" s="417"/>
      <c r="U338" s="420"/>
      <c r="V338" s="420"/>
      <c r="W338" s="421"/>
      <c r="X338" s="375"/>
      <c r="Y338" s="376"/>
    </row>
    <row r="339" spans="2:25" ht="15" outlineLevel="1">
      <c r="B339" s="371"/>
      <c r="C339" s="372"/>
      <c r="D339" s="373"/>
      <c r="E339" s="374"/>
      <c r="F339" s="374"/>
      <c r="G339" s="375"/>
      <c r="H339" s="376"/>
      <c r="I339" s="371"/>
      <c r="J339" s="444"/>
      <c r="K339" s="416"/>
      <c r="L339" s="417"/>
      <c r="M339" s="420"/>
      <c r="P339" s="510"/>
      <c r="Q339" s="511"/>
      <c r="R339" s="444"/>
      <c r="S339" s="416"/>
      <c r="T339" s="417"/>
      <c r="U339" s="420"/>
      <c r="V339" s="420"/>
      <c r="W339" s="421"/>
      <c r="X339" s="375"/>
      <c r="Y339" s="376"/>
    </row>
    <row r="340" spans="2:25" ht="15" outlineLevel="1">
      <c r="B340" s="475" t="s">
        <v>77</v>
      </c>
      <c r="C340" s="265" t="s">
        <v>33</v>
      </c>
      <c r="D340" s="264" t="s">
        <v>166</v>
      </c>
      <c r="E340" s="266" t="s">
        <v>109</v>
      </c>
      <c r="F340" s="359" t="s">
        <v>73</v>
      </c>
      <c r="G340" s="393" t="s">
        <v>35</v>
      </c>
      <c r="H340" s="360" t="s">
        <v>152</v>
      </c>
      <c r="I340" s="371"/>
      <c r="J340" s="444"/>
      <c r="K340" s="416"/>
      <c r="L340" s="417"/>
      <c r="M340" s="420"/>
      <c r="P340" s="510"/>
      <c r="Q340" s="511"/>
      <c r="R340" s="444"/>
      <c r="S340" s="416"/>
      <c r="T340" s="417"/>
      <c r="U340" s="420"/>
      <c r="V340" s="420"/>
      <c r="W340" s="421"/>
      <c r="X340" s="375"/>
      <c r="Y340" s="376"/>
    </row>
    <row r="341" spans="2:25" ht="15" outlineLevel="1">
      <c r="B341" s="512">
        <v>1</v>
      </c>
      <c r="C341" s="442"/>
      <c r="D341" s="435"/>
      <c r="E341" s="436"/>
      <c r="F341" s="407"/>
      <c r="G341" s="527"/>
      <c r="H341" s="528"/>
      <c r="I341" s="371"/>
      <c r="J341" s="444"/>
      <c r="K341" s="416"/>
      <c r="L341" s="417"/>
      <c r="M341" s="420"/>
      <c r="P341" s="510"/>
      <c r="Q341" s="511"/>
      <c r="R341" s="444"/>
      <c r="S341" s="416"/>
      <c r="T341" s="417"/>
      <c r="U341" s="420"/>
      <c r="V341" s="420"/>
      <c r="W341" s="421"/>
      <c r="X341" s="375"/>
      <c r="Y341" s="376"/>
    </row>
    <row r="342" spans="2:25" ht="15" outlineLevel="1">
      <c r="B342" s="512">
        <v>2</v>
      </c>
      <c r="C342" s="442"/>
      <c r="D342" s="404"/>
      <c r="E342" s="405"/>
      <c r="F342" s="407"/>
      <c r="G342" s="527"/>
      <c r="H342" s="528"/>
      <c r="I342" s="371"/>
      <c r="J342" s="444"/>
      <c r="K342" s="416"/>
      <c r="L342" s="417"/>
      <c r="M342" s="420"/>
      <c r="P342" s="510"/>
      <c r="Q342" s="511"/>
      <c r="R342" s="444"/>
      <c r="S342" s="416"/>
      <c r="T342" s="417"/>
      <c r="U342" s="420"/>
      <c r="V342" s="420"/>
      <c r="W342" s="421"/>
      <c r="X342" s="375"/>
      <c r="Y342" s="376"/>
    </row>
    <row r="343" spans="2:25" ht="15" outlineLevel="1">
      <c r="B343" s="512">
        <v>3</v>
      </c>
      <c r="C343" s="442"/>
      <c r="D343" s="404"/>
      <c r="E343" s="405"/>
      <c r="F343" s="407"/>
      <c r="G343" s="527"/>
      <c r="H343" s="528"/>
      <c r="I343" s="371"/>
      <c r="J343" s="444"/>
      <c r="K343" s="416"/>
      <c r="L343" s="417"/>
      <c r="M343" s="420"/>
      <c r="P343" s="510"/>
      <c r="Q343" s="511"/>
      <c r="R343" s="444"/>
      <c r="S343" s="416"/>
      <c r="T343" s="417"/>
      <c r="U343" s="420"/>
      <c r="V343" s="420"/>
      <c r="W343" s="421"/>
      <c r="X343" s="375"/>
      <c r="Y343" s="376"/>
    </row>
    <row r="344" spans="2:25" ht="15" outlineLevel="1">
      <c r="B344" s="512">
        <v>4</v>
      </c>
      <c r="C344" s="442"/>
      <c r="D344" s="404"/>
      <c r="E344" s="405"/>
      <c r="F344" s="407"/>
      <c r="G344" s="527"/>
      <c r="H344" s="528"/>
      <c r="I344" s="371"/>
      <c r="J344" s="444"/>
      <c r="K344" s="416"/>
      <c r="L344" s="417"/>
      <c r="M344" s="420"/>
      <c r="P344" s="510"/>
      <c r="Q344" s="511"/>
      <c r="R344" s="444"/>
      <c r="S344" s="416"/>
      <c r="T344" s="417"/>
      <c r="U344" s="420"/>
      <c r="V344" s="420"/>
      <c r="W344" s="421"/>
      <c r="X344" s="375"/>
      <c r="Y344" s="376"/>
    </row>
    <row r="345" spans="2:25" ht="15" outlineLevel="1">
      <c r="B345" s="512">
        <v>5</v>
      </c>
      <c r="C345" s="442"/>
      <c r="D345" s="404"/>
      <c r="E345" s="405"/>
      <c r="F345" s="407"/>
      <c r="G345" s="527"/>
      <c r="H345" s="528"/>
      <c r="I345" s="371"/>
      <c r="J345" s="444"/>
      <c r="K345" s="416"/>
      <c r="L345" s="417"/>
      <c r="M345" s="420"/>
      <c r="P345" s="510"/>
      <c r="Q345" s="511"/>
      <c r="R345" s="444"/>
      <c r="S345" s="416"/>
      <c r="T345" s="417"/>
      <c r="U345" s="420"/>
      <c r="V345" s="420"/>
      <c r="W345" s="421"/>
      <c r="X345" s="375"/>
      <c r="Y345" s="376"/>
    </row>
    <row r="346" spans="2:25" ht="15" outlineLevel="1">
      <c r="B346" s="512">
        <v>6</v>
      </c>
      <c r="C346" s="442"/>
      <c r="D346" s="404"/>
      <c r="E346" s="405"/>
      <c r="F346" s="407"/>
      <c r="G346" s="527"/>
      <c r="H346" s="528"/>
      <c r="I346" s="371"/>
      <c r="J346" s="444"/>
      <c r="K346" s="416"/>
      <c r="L346" s="417"/>
      <c r="M346" s="420"/>
      <c r="P346" s="510"/>
      <c r="Q346" s="511"/>
      <c r="R346" s="444"/>
      <c r="S346" s="416"/>
      <c r="T346" s="417"/>
      <c r="U346" s="420"/>
      <c r="V346" s="420"/>
      <c r="W346" s="421"/>
      <c r="X346" s="375"/>
      <c r="Y346" s="376"/>
    </row>
    <row r="347" spans="2:25" ht="15" outlineLevel="1">
      <c r="B347" s="512">
        <v>7</v>
      </c>
      <c r="C347" s="442"/>
      <c r="D347" s="404"/>
      <c r="E347" s="405"/>
      <c r="F347" s="407"/>
      <c r="G347" s="527"/>
      <c r="H347" s="528"/>
      <c r="I347" s="371"/>
      <c r="J347" s="444"/>
      <c r="K347" s="416"/>
      <c r="L347" s="417"/>
      <c r="M347" s="420"/>
      <c r="P347" s="510"/>
      <c r="Q347" s="511"/>
      <c r="R347" s="444"/>
      <c r="S347" s="416"/>
      <c r="T347" s="417"/>
      <c r="U347" s="420"/>
      <c r="V347" s="420"/>
      <c r="W347" s="421"/>
      <c r="X347" s="375"/>
      <c r="Y347" s="376"/>
    </row>
    <row r="348" spans="2:25" ht="15" outlineLevel="1">
      <c r="B348" s="512">
        <v>8</v>
      </c>
      <c r="C348" s="442"/>
      <c r="D348" s="404"/>
      <c r="E348" s="405"/>
      <c r="F348" s="407"/>
      <c r="G348" s="527"/>
      <c r="H348" s="528"/>
      <c r="I348" s="371"/>
      <c r="J348" s="444"/>
      <c r="K348" s="416"/>
      <c r="L348" s="417"/>
      <c r="M348" s="420"/>
      <c r="P348" s="510"/>
      <c r="Q348" s="511"/>
      <c r="R348" s="444"/>
      <c r="S348" s="416"/>
      <c r="T348" s="417"/>
      <c r="U348" s="420"/>
      <c r="V348" s="420"/>
      <c r="W348" s="421"/>
      <c r="X348" s="375"/>
      <c r="Y348" s="376"/>
    </row>
    <row r="349" spans="2:25" ht="15" outlineLevel="1">
      <c r="B349" s="512">
        <v>9</v>
      </c>
      <c r="C349" s="442"/>
      <c r="D349" s="404"/>
      <c r="E349" s="405"/>
      <c r="F349" s="407"/>
      <c r="G349" s="527"/>
      <c r="H349" s="528"/>
      <c r="I349" s="371"/>
      <c r="J349" s="444"/>
      <c r="K349" s="416"/>
      <c r="L349" s="417"/>
      <c r="M349" s="420"/>
      <c r="P349" s="510"/>
      <c r="Q349" s="511"/>
      <c r="R349" s="444"/>
      <c r="S349" s="416"/>
      <c r="T349" s="417"/>
      <c r="U349" s="420"/>
      <c r="V349" s="420"/>
      <c r="W349" s="421"/>
      <c r="X349" s="375"/>
      <c r="Y349" s="376"/>
    </row>
    <row r="350" spans="2:25" ht="15" outlineLevel="1">
      <c r="B350" s="512">
        <v>10</v>
      </c>
      <c r="C350" s="442"/>
      <c r="D350" s="404"/>
      <c r="E350" s="405"/>
      <c r="F350" s="407"/>
      <c r="G350" s="527"/>
      <c r="H350" s="528"/>
      <c r="I350" s="371"/>
      <c r="J350" s="444"/>
      <c r="K350" s="416"/>
      <c r="L350" s="417"/>
      <c r="M350" s="420"/>
      <c r="P350" s="510"/>
      <c r="Q350" s="511"/>
      <c r="R350" s="444"/>
      <c r="S350" s="416"/>
      <c r="T350" s="417"/>
      <c r="U350" s="420"/>
      <c r="V350" s="420"/>
      <c r="W350" s="421"/>
      <c r="X350" s="375"/>
      <c r="Y350" s="376"/>
    </row>
    <row r="351" spans="2:25" ht="15" outlineLevel="1">
      <c r="B351" s="512">
        <v>11</v>
      </c>
      <c r="C351" s="442"/>
      <c r="D351" s="404"/>
      <c r="E351" s="405"/>
      <c r="F351" s="407"/>
      <c r="G351" s="527"/>
      <c r="H351" s="528"/>
      <c r="I351" s="371"/>
      <c r="J351" s="444"/>
      <c r="K351" s="416"/>
      <c r="L351" s="417"/>
      <c r="M351" s="420"/>
      <c r="P351" s="510"/>
      <c r="Q351" s="511"/>
      <c r="R351" s="444"/>
      <c r="S351" s="416"/>
      <c r="T351" s="417"/>
      <c r="U351" s="420"/>
      <c r="V351" s="420"/>
      <c r="W351" s="421"/>
      <c r="X351" s="375"/>
      <c r="Y351" s="376"/>
    </row>
    <row r="352" spans="2:25" ht="15" outlineLevel="1">
      <c r="B352" s="512">
        <v>12</v>
      </c>
      <c r="C352" s="442"/>
      <c r="D352" s="404"/>
      <c r="E352" s="405"/>
      <c r="F352" s="407"/>
      <c r="G352" s="527"/>
      <c r="H352" s="528"/>
      <c r="I352" s="371"/>
      <c r="J352" s="444"/>
      <c r="K352" s="416"/>
      <c r="L352" s="417"/>
      <c r="M352" s="420"/>
      <c r="P352" s="510"/>
      <c r="Q352" s="511"/>
      <c r="R352" s="444"/>
      <c r="S352" s="416"/>
      <c r="T352" s="417"/>
      <c r="U352" s="420"/>
      <c r="V352" s="420"/>
      <c r="W352" s="421"/>
      <c r="X352" s="375"/>
      <c r="Y352" s="376"/>
    </row>
    <row r="353" spans="2:25" ht="15" outlineLevel="1">
      <c r="B353" s="512">
        <v>13</v>
      </c>
      <c r="C353" s="442"/>
      <c r="D353" s="404"/>
      <c r="E353" s="405"/>
      <c r="F353" s="407"/>
      <c r="G353" s="527"/>
      <c r="H353" s="528"/>
      <c r="I353" s="371"/>
      <c r="J353" s="444"/>
      <c r="K353" s="416"/>
      <c r="L353" s="417"/>
      <c r="M353" s="420"/>
      <c r="P353" s="510"/>
      <c r="Q353" s="511"/>
      <c r="R353" s="444"/>
      <c r="S353" s="416"/>
      <c r="T353" s="417"/>
      <c r="U353" s="420"/>
      <c r="V353" s="420"/>
      <c r="W353" s="421"/>
      <c r="X353" s="375"/>
      <c r="Y353" s="376"/>
    </row>
    <row r="354" spans="2:25" ht="15" outlineLevel="1">
      <c r="B354" s="512">
        <v>14</v>
      </c>
      <c r="C354" s="442"/>
      <c r="D354" s="404"/>
      <c r="E354" s="405"/>
      <c r="F354" s="407"/>
      <c r="G354" s="527"/>
      <c r="H354" s="528"/>
      <c r="I354" s="371"/>
      <c r="J354" s="444"/>
      <c r="K354" s="416"/>
      <c r="L354" s="417"/>
      <c r="M354" s="420"/>
      <c r="P354" s="510"/>
      <c r="Q354" s="511"/>
      <c r="R354" s="444"/>
      <c r="S354" s="416"/>
      <c r="T354" s="417"/>
      <c r="U354" s="420"/>
      <c r="V354" s="420"/>
      <c r="W354" s="421"/>
      <c r="X354" s="375"/>
      <c r="Y354" s="376"/>
    </row>
    <row r="355" spans="2:25" ht="15" outlineLevel="1">
      <c r="B355" s="512">
        <v>15</v>
      </c>
      <c r="C355" s="442"/>
      <c r="D355" s="404"/>
      <c r="E355" s="405"/>
      <c r="F355" s="407"/>
      <c r="G355" s="527"/>
      <c r="H355" s="528"/>
      <c r="I355" s="371"/>
      <c r="J355" s="444"/>
      <c r="K355" s="416"/>
      <c r="L355" s="417"/>
      <c r="M355" s="420"/>
      <c r="P355" s="510"/>
      <c r="Q355" s="511"/>
      <c r="R355" s="444"/>
      <c r="S355" s="416"/>
      <c r="T355" s="417"/>
      <c r="U355" s="420"/>
      <c r="V355" s="420"/>
      <c r="W355" s="421"/>
      <c r="X355" s="375"/>
      <c r="Y355" s="376"/>
    </row>
    <row r="356" spans="2:25" ht="15" outlineLevel="1">
      <c r="B356" s="512">
        <v>16</v>
      </c>
      <c r="C356" s="442"/>
      <c r="D356" s="404"/>
      <c r="E356" s="405"/>
      <c r="F356" s="407"/>
      <c r="G356" s="527"/>
      <c r="H356" s="528"/>
      <c r="I356" s="371"/>
      <c r="J356" s="444"/>
      <c r="K356" s="416"/>
      <c r="L356" s="417"/>
      <c r="M356" s="420"/>
      <c r="P356" s="510"/>
      <c r="Q356" s="511"/>
      <c r="R356" s="444"/>
      <c r="S356" s="416"/>
      <c r="T356" s="417"/>
      <c r="U356" s="420"/>
      <c r="V356" s="420"/>
      <c r="W356" s="421"/>
      <c r="X356" s="375"/>
      <c r="Y356" s="376"/>
    </row>
    <row r="357" spans="2:25" ht="15" outlineLevel="1">
      <c r="B357" s="512">
        <v>17</v>
      </c>
      <c r="C357" s="442"/>
      <c r="D357" s="404"/>
      <c r="E357" s="405"/>
      <c r="F357" s="407"/>
      <c r="G357" s="527"/>
      <c r="H357" s="528"/>
      <c r="I357" s="371"/>
      <c r="J357" s="444"/>
      <c r="K357" s="416"/>
      <c r="L357" s="417"/>
      <c r="M357" s="420"/>
      <c r="P357" s="510"/>
      <c r="Q357" s="511"/>
      <c r="R357" s="444"/>
      <c r="S357" s="416"/>
      <c r="T357" s="417"/>
      <c r="U357" s="420"/>
      <c r="V357" s="420"/>
      <c r="W357" s="421"/>
      <c r="X357" s="375"/>
      <c r="Y357" s="376"/>
    </row>
    <row r="358" spans="2:25" ht="15" outlineLevel="1">
      <c r="B358" s="512">
        <v>18</v>
      </c>
      <c r="C358" s="442"/>
      <c r="D358" s="404"/>
      <c r="E358" s="405"/>
      <c r="F358" s="407"/>
      <c r="G358" s="527"/>
      <c r="H358" s="528"/>
      <c r="I358" s="371"/>
      <c r="J358" s="444"/>
      <c r="K358" s="416"/>
      <c r="L358" s="417"/>
      <c r="M358" s="420"/>
      <c r="P358" s="510"/>
      <c r="Q358" s="511"/>
      <c r="R358" s="444"/>
      <c r="S358" s="416"/>
      <c r="T358" s="417"/>
      <c r="U358" s="420"/>
      <c r="V358" s="420"/>
      <c r="W358" s="421"/>
      <c r="X358" s="375"/>
      <c r="Y358" s="376"/>
    </row>
    <row r="359" spans="2:25" ht="15" outlineLevel="1">
      <c r="B359" s="512">
        <v>19</v>
      </c>
      <c r="C359" s="442"/>
      <c r="D359" s="404"/>
      <c r="E359" s="405"/>
      <c r="F359" s="407"/>
      <c r="G359" s="527"/>
      <c r="H359" s="528"/>
      <c r="I359" s="371"/>
      <c r="J359" s="444"/>
      <c r="K359" s="416"/>
      <c r="L359" s="417"/>
      <c r="M359" s="420"/>
      <c r="P359" s="510"/>
      <c r="Q359" s="511"/>
      <c r="R359" s="444"/>
      <c r="S359" s="416"/>
      <c r="T359" s="417"/>
      <c r="U359" s="420"/>
      <c r="V359" s="420"/>
      <c r="W359" s="421"/>
      <c r="X359" s="375"/>
      <c r="Y359" s="376"/>
    </row>
    <row r="360" spans="2:25" ht="15" outlineLevel="1">
      <c r="B360" s="512">
        <v>20</v>
      </c>
      <c r="C360" s="442"/>
      <c r="D360" s="404"/>
      <c r="E360" s="405"/>
      <c r="F360" s="407"/>
      <c r="G360" s="527"/>
      <c r="H360" s="528"/>
      <c r="I360" s="371"/>
      <c r="J360" s="444"/>
      <c r="K360" s="416"/>
      <c r="L360" s="417"/>
      <c r="M360" s="420"/>
      <c r="P360" s="510"/>
      <c r="Q360" s="511"/>
      <c r="R360" s="444"/>
      <c r="S360" s="416"/>
      <c r="T360" s="417"/>
      <c r="U360" s="420"/>
      <c r="V360" s="420"/>
      <c r="W360" s="421"/>
      <c r="X360" s="375"/>
      <c r="Y360" s="376"/>
    </row>
    <row r="361" spans="2:25" ht="15" outlineLevel="1">
      <c r="B361" s="512">
        <v>21</v>
      </c>
      <c r="C361" s="442"/>
      <c r="D361" s="404"/>
      <c r="E361" s="405"/>
      <c r="F361" s="407"/>
      <c r="G361" s="527"/>
      <c r="H361" s="528"/>
      <c r="I361" s="371"/>
      <c r="J361" s="444"/>
      <c r="K361" s="416"/>
      <c r="L361" s="417"/>
      <c r="M361" s="420"/>
      <c r="P361" s="510"/>
      <c r="Q361" s="511"/>
      <c r="R361" s="444"/>
      <c r="S361" s="416"/>
      <c r="T361" s="417"/>
      <c r="U361" s="420"/>
      <c r="V361" s="420"/>
      <c r="W361" s="421"/>
      <c r="X361" s="375"/>
      <c r="Y361" s="376"/>
    </row>
    <row r="362" spans="2:25" ht="15" outlineLevel="1">
      <c r="B362" s="512">
        <v>22</v>
      </c>
      <c r="C362" s="442"/>
      <c r="D362" s="404"/>
      <c r="E362" s="405"/>
      <c r="F362" s="407"/>
      <c r="G362" s="527"/>
      <c r="H362" s="528"/>
      <c r="I362" s="371"/>
      <c r="J362" s="444"/>
      <c r="K362" s="416"/>
      <c r="L362" s="417"/>
      <c r="M362" s="420"/>
      <c r="P362" s="510"/>
      <c r="Q362" s="511"/>
      <c r="R362" s="444"/>
      <c r="S362" s="416"/>
      <c r="T362" s="417"/>
      <c r="U362" s="420"/>
      <c r="V362" s="420"/>
      <c r="W362" s="421"/>
      <c r="X362" s="375"/>
      <c r="Y362" s="376"/>
    </row>
    <row r="363" spans="2:25" ht="15" outlineLevel="1">
      <c r="B363" s="512">
        <v>23</v>
      </c>
      <c r="C363" s="442"/>
      <c r="D363" s="404"/>
      <c r="E363" s="405"/>
      <c r="F363" s="407"/>
      <c r="G363" s="527"/>
      <c r="H363" s="528"/>
      <c r="I363" s="371"/>
      <c r="J363" s="444"/>
      <c r="K363" s="416"/>
      <c r="L363" s="417"/>
      <c r="M363" s="420"/>
      <c r="P363" s="510"/>
      <c r="Q363" s="511"/>
      <c r="R363" s="444"/>
      <c r="S363" s="416"/>
      <c r="T363" s="417"/>
      <c r="U363" s="420"/>
      <c r="V363" s="420"/>
      <c r="W363" s="421"/>
      <c r="X363" s="375"/>
      <c r="Y363" s="376"/>
    </row>
    <row r="364" spans="2:25" ht="15" outlineLevel="1">
      <c r="B364" s="512">
        <v>24</v>
      </c>
      <c r="C364" s="442"/>
      <c r="D364" s="404"/>
      <c r="E364" s="405"/>
      <c r="F364" s="407"/>
      <c r="G364" s="527"/>
      <c r="H364" s="528"/>
      <c r="I364" s="371"/>
      <c r="J364" s="444"/>
      <c r="K364" s="416"/>
      <c r="L364" s="417"/>
      <c r="M364" s="420"/>
      <c r="P364" s="510"/>
      <c r="Q364" s="511"/>
      <c r="R364" s="444"/>
      <c r="S364" s="416"/>
      <c r="T364" s="417"/>
      <c r="U364" s="420"/>
      <c r="V364" s="420"/>
      <c r="W364" s="421"/>
      <c r="X364" s="375"/>
      <c r="Y364" s="376"/>
    </row>
    <row r="365" spans="2:25" ht="15" outlineLevel="1">
      <c r="B365" s="512">
        <v>25</v>
      </c>
      <c r="C365" s="442"/>
      <c r="D365" s="404"/>
      <c r="E365" s="405"/>
      <c r="F365" s="407"/>
      <c r="G365" s="527"/>
      <c r="H365" s="528"/>
      <c r="I365" s="371"/>
      <c r="J365" s="444"/>
      <c r="K365" s="416"/>
      <c r="L365" s="417"/>
      <c r="M365" s="420"/>
      <c r="P365" s="510"/>
      <c r="Q365" s="511"/>
      <c r="R365" s="444"/>
      <c r="S365" s="416"/>
      <c r="T365" s="417"/>
      <c r="U365" s="420"/>
      <c r="V365" s="420"/>
      <c r="W365" s="421"/>
      <c r="X365" s="375"/>
      <c r="Y365" s="376"/>
    </row>
    <row r="366" spans="2:25" ht="15" outlineLevel="1">
      <c r="B366" s="512">
        <v>26</v>
      </c>
      <c r="C366" s="442"/>
      <c r="D366" s="404"/>
      <c r="E366" s="405"/>
      <c r="F366" s="407"/>
      <c r="G366" s="527"/>
      <c r="H366" s="528"/>
      <c r="I366" s="371"/>
      <c r="J366" s="444"/>
      <c r="K366" s="416"/>
      <c r="L366" s="417"/>
      <c r="M366" s="420"/>
      <c r="P366" s="510"/>
      <c r="Q366" s="511"/>
      <c r="R366" s="444"/>
      <c r="S366" s="416"/>
      <c r="T366" s="417"/>
      <c r="U366" s="420"/>
      <c r="V366" s="420"/>
      <c r="W366" s="421"/>
      <c r="X366" s="375"/>
      <c r="Y366" s="376"/>
    </row>
    <row r="367" spans="2:25" ht="15" outlineLevel="1">
      <c r="B367" s="512">
        <v>27</v>
      </c>
      <c r="C367" s="442"/>
      <c r="D367" s="404"/>
      <c r="E367" s="405"/>
      <c r="F367" s="407"/>
      <c r="G367" s="527"/>
      <c r="H367" s="528"/>
      <c r="I367" s="371"/>
      <c r="J367" s="444"/>
      <c r="K367" s="416"/>
      <c r="L367" s="417"/>
      <c r="M367" s="420"/>
      <c r="P367" s="510"/>
      <c r="Q367" s="511"/>
      <c r="R367" s="444"/>
      <c r="S367" s="416"/>
      <c r="T367" s="417"/>
      <c r="U367" s="420"/>
      <c r="V367" s="420"/>
      <c r="W367" s="421"/>
      <c r="X367" s="375"/>
      <c r="Y367" s="376"/>
    </row>
    <row r="368" spans="2:25" ht="15" outlineLevel="1">
      <c r="B368" s="512">
        <v>28</v>
      </c>
      <c r="C368" s="442"/>
      <c r="D368" s="404"/>
      <c r="E368" s="405"/>
      <c r="F368" s="407"/>
      <c r="G368" s="527"/>
      <c r="H368" s="528"/>
      <c r="I368" s="371"/>
      <c r="J368" s="444"/>
      <c r="K368" s="416"/>
      <c r="L368" s="417"/>
      <c r="M368" s="420"/>
      <c r="P368" s="510"/>
      <c r="Q368" s="511"/>
      <c r="R368" s="444"/>
      <c r="S368" s="416"/>
      <c r="T368" s="417"/>
      <c r="U368" s="420"/>
      <c r="V368" s="420"/>
      <c r="W368" s="421"/>
      <c r="X368" s="375"/>
      <c r="Y368" s="376"/>
    </row>
    <row r="369" spans="2:25" ht="15" outlineLevel="1">
      <c r="B369" s="512">
        <v>29</v>
      </c>
      <c r="C369" s="442"/>
      <c r="D369" s="404"/>
      <c r="E369" s="405"/>
      <c r="F369" s="407"/>
      <c r="G369" s="527"/>
      <c r="H369" s="528"/>
      <c r="I369" s="371"/>
      <c r="J369" s="444"/>
      <c r="K369" s="416"/>
      <c r="L369" s="417"/>
      <c r="M369" s="420"/>
      <c r="P369" s="510"/>
      <c r="Q369" s="511"/>
      <c r="R369" s="444"/>
      <c r="S369" s="416"/>
      <c r="T369" s="417"/>
      <c r="U369" s="420"/>
      <c r="V369" s="420"/>
      <c r="W369" s="421"/>
      <c r="X369" s="375"/>
      <c r="Y369" s="376"/>
    </row>
    <row r="370" spans="2:25" ht="15" outlineLevel="1">
      <c r="B370" s="512">
        <v>30</v>
      </c>
      <c r="C370" s="442"/>
      <c r="D370" s="404"/>
      <c r="E370" s="405"/>
      <c r="F370" s="407"/>
      <c r="G370" s="527"/>
      <c r="H370" s="528"/>
      <c r="I370" s="371"/>
      <c r="J370" s="444"/>
      <c r="K370" s="416"/>
      <c r="L370" s="417"/>
      <c r="M370" s="420"/>
      <c r="P370" s="510"/>
      <c r="Q370" s="511"/>
      <c r="R370" s="444"/>
      <c r="S370" s="416"/>
      <c r="T370" s="417"/>
      <c r="U370" s="420"/>
      <c r="V370" s="420"/>
      <c r="W370" s="421"/>
      <c r="X370" s="375"/>
      <c r="Y370" s="376"/>
    </row>
    <row r="371" spans="2:25" ht="15" outlineLevel="1">
      <c r="B371" s="512">
        <v>31</v>
      </c>
      <c r="C371" s="442"/>
      <c r="D371" s="404"/>
      <c r="E371" s="405"/>
      <c r="F371" s="407"/>
      <c r="G371" s="527"/>
      <c r="H371" s="528"/>
      <c r="I371" s="371"/>
      <c r="J371" s="444"/>
      <c r="K371" s="416"/>
      <c r="L371" s="417"/>
      <c r="M371" s="420"/>
      <c r="P371" s="510"/>
      <c r="Q371" s="511"/>
      <c r="R371" s="444"/>
      <c r="S371" s="416"/>
      <c r="T371" s="417"/>
      <c r="U371" s="420"/>
      <c r="V371" s="420"/>
      <c r="W371" s="421"/>
      <c r="X371" s="375"/>
      <c r="Y371" s="376"/>
    </row>
    <row r="372" spans="2:25" ht="15" outlineLevel="1">
      <c r="B372" s="512">
        <v>32</v>
      </c>
      <c r="C372" s="442"/>
      <c r="D372" s="404"/>
      <c r="E372" s="405"/>
      <c r="F372" s="407"/>
      <c r="G372" s="527"/>
      <c r="H372" s="528"/>
      <c r="I372" s="371"/>
      <c r="J372" s="444"/>
      <c r="K372" s="416"/>
      <c r="L372" s="417"/>
      <c r="M372" s="420"/>
      <c r="P372" s="510"/>
      <c r="Q372" s="511"/>
      <c r="R372" s="444"/>
      <c r="S372" s="416"/>
      <c r="T372" s="417"/>
      <c r="U372" s="420"/>
      <c r="V372" s="420"/>
      <c r="W372" s="421"/>
      <c r="X372" s="375"/>
      <c r="Y372" s="376"/>
    </row>
    <row r="373" spans="2:25" ht="15" outlineLevel="1">
      <c r="B373" s="512">
        <v>33</v>
      </c>
      <c r="C373" s="442"/>
      <c r="D373" s="404"/>
      <c r="E373" s="405"/>
      <c r="F373" s="407"/>
      <c r="G373" s="527"/>
      <c r="H373" s="528"/>
      <c r="I373" s="371"/>
      <c r="J373" s="444"/>
      <c r="K373" s="416"/>
      <c r="L373" s="417"/>
      <c r="M373" s="420"/>
      <c r="P373" s="510"/>
      <c r="Q373" s="511"/>
      <c r="R373" s="444"/>
      <c r="S373" s="416"/>
      <c r="T373" s="417"/>
      <c r="U373" s="420"/>
      <c r="V373" s="420"/>
      <c r="W373" s="421"/>
      <c r="X373" s="375"/>
      <c r="Y373" s="376"/>
    </row>
    <row r="374" spans="2:25" ht="15" outlineLevel="1">
      <c r="B374" s="512">
        <v>34</v>
      </c>
      <c r="C374" s="442"/>
      <c r="D374" s="404"/>
      <c r="E374" s="405"/>
      <c r="F374" s="407"/>
      <c r="G374" s="527"/>
      <c r="H374" s="528"/>
      <c r="I374" s="371"/>
      <c r="J374" s="444"/>
      <c r="K374" s="416"/>
      <c r="L374" s="417"/>
      <c r="M374" s="420"/>
      <c r="P374" s="510"/>
      <c r="Q374" s="511"/>
      <c r="R374" s="444"/>
      <c r="S374" s="416"/>
      <c r="T374" s="417"/>
      <c r="U374" s="420"/>
      <c r="V374" s="420"/>
      <c r="W374" s="421"/>
      <c r="X374" s="375"/>
      <c r="Y374" s="376"/>
    </row>
    <row r="375" spans="2:25" ht="15" outlineLevel="1">
      <c r="B375" s="512">
        <v>35</v>
      </c>
      <c r="C375" s="442"/>
      <c r="D375" s="404"/>
      <c r="E375" s="405"/>
      <c r="F375" s="407"/>
      <c r="G375" s="527"/>
      <c r="H375" s="528"/>
      <c r="I375" s="371"/>
      <c r="J375" s="444"/>
      <c r="K375" s="416"/>
      <c r="L375" s="417"/>
      <c r="M375" s="420"/>
      <c r="P375" s="510"/>
      <c r="Q375" s="511"/>
      <c r="R375" s="444"/>
      <c r="S375" s="416"/>
      <c r="T375" s="417"/>
      <c r="U375" s="420"/>
      <c r="V375" s="420"/>
      <c r="W375" s="421"/>
      <c r="X375" s="375"/>
      <c r="Y375" s="376"/>
    </row>
    <row r="376" spans="2:25" ht="15" outlineLevel="1">
      <c r="B376" s="512">
        <v>36</v>
      </c>
      <c r="C376" s="442"/>
      <c r="D376" s="404"/>
      <c r="E376" s="405"/>
      <c r="F376" s="407"/>
      <c r="G376" s="527"/>
      <c r="H376" s="528"/>
      <c r="I376" s="371"/>
      <c r="J376" s="444"/>
      <c r="K376" s="416"/>
      <c r="L376" s="417"/>
      <c r="M376" s="420"/>
      <c r="P376" s="510"/>
      <c r="Q376" s="511"/>
      <c r="R376" s="444"/>
      <c r="S376" s="416"/>
      <c r="T376" s="417"/>
      <c r="U376" s="420"/>
      <c r="V376" s="420"/>
      <c r="W376" s="421"/>
      <c r="X376" s="375"/>
      <c r="Y376" s="376"/>
    </row>
    <row r="377" spans="2:25" ht="15" outlineLevel="1">
      <c r="B377" s="512">
        <v>37</v>
      </c>
      <c r="C377" s="442"/>
      <c r="D377" s="404"/>
      <c r="E377" s="405"/>
      <c r="F377" s="407"/>
      <c r="G377" s="527"/>
      <c r="H377" s="528"/>
      <c r="I377" s="371"/>
      <c r="J377" s="444"/>
      <c r="K377" s="416"/>
      <c r="L377" s="417"/>
      <c r="M377" s="420"/>
      <c r="P377" s="510"/>
      <c r="Q377" s="511"/>
      <c r="R377" s="444"/>
      <c r="S377" s="416"/>
      <c r="T377" s="417"/>
      <c r="U377" s="420"/>
      <c r="V377" s="420"/>
      <c r="W377" s="421"/>
      <c r="X377" s="375"/>
      <c r="Y377" s="376"/>
    </row>
    <row r="378" spans="2:25" ht="15" outlineLevel="1">
      <c r="B378" s="512">
        <v>38</v>
      </c>
      <c r="C378" s="442"/>
      <c r="D378" s="404"/>
      <c r="E378" s="405"/>
      <c r="F378" s="407"/>
      <c r="G378" s="527"/>
      <c r="H378" s="528"/>
      <c r="I378" s="371"/>
      <c r="J378" s="444"/>
      <c r="K378" s="416"/>
      <c r="L378" s="417"/>
      <c r="M378" s="420"/>
      <c r="P378" s="510"/>
      <c r="Q378" s="511"/>
      <c r="R378" s="444"/>
      <c r="S378" s="416"/>
      <c r="T378" s="417"/>
      <c r="U378" s="420"/>
      <c r="V378" s="420"/>
      <c r="W378" s="421"/>
      <c r="X378" s="375"/>
      <c r="Y378" s="376"/>
    </row>
    <row r="379" spans="2:25" ht="15" outlineLevel="1">
      <c r="B379" s="512">
        <v>39</v>
      </c>
      <c r="C379" s="442"/>
      <c r="D379" s="404"/>
      <c r="E379" s="405"/>
      <c r="F379" s="407"/>
      <c r="G379" s="527"/>
      <c r="H379" s="528"/>
      <c r="I379" s="371"/>
      <c r="J379" s="444"/>
      <c r="K379" s="416"/>
      <c r="L379" s="417"/>
      <c r="M379" s="420"/>
      <c r="P379" s="510"/>
      <c r="Q379" s="511"/>
      <c r="R379" s="444"/>
      <c r="S379" s="416"/>
      <c r="T379" s="417"/>
      <c r="U379" s="420"/>
      <c r="V379" s="420"/>
      <c r="W379" s="421"/>
      <c r="X379" s="375"/>
      <c r="Y379" s="376"/>
    </row>
    <row r="380" spans="2:25" ht="15" outlineLevel="1">
      <c r="B380" s="512">
        <v>40</v>
      </c>
      <c r="C380" s="442"/>
      <c r="D380" s="404"/>
      <c r="E380" s="405"/>
      <c r="F380" s="407"/>
      <c r="G380" s="527"/>
      <c r="H380" s="528"/>
      <c r="I380" s="371"/>
      <c r="J380" s="444"/>
      <c r="K380" s="416"/>
      <c r="L380" s="417"/>
      <c r="M380" s="420"/>
      <c r="P380" s="510"/>
      <c r="Q380" s="511"/>
      <c r="R380" s="444"/>
      <c r="S380" s="416"/>
      <c r="T380" s="417"/>
      <c r="U380" s="420"/>
      <c r="V380" s="420"/>
      <c r="W380" s="421"/>
      <c r="X380" s="375"/>
      <c r="Y380" s="376"/>
    </row>
    <row r="381" spans="2:25" ht="15" outlineLevel="1">
      <c r="B381" s="512">
        <v>41</v>
      </c>
      <c r="C381" s="442"/>
      <c r="D381" s="404"/>
      <c r="E381" s="405"/>
      <c r="F381" s="407"/>
      <c r="G381" s="527"/>
      <c r="H381" s="528"/>
      <c r="I381" s="371"/>
      <c r="J381" s="444"/>
      <c r="K381" s="416"/>
      <c r="L381" s="417"/>
      <c r="M381" s="420"/>
      <c r="P381" s="510"/>
      <c r="Q381" s="511"/>
      <c r="R381" s="444"/>
      <c r="S381" s="416"/>
      <c r="T381" s="417"/>
      <c r="U381" s="420"/>
      <c r="V381" s="420"/>
      <c r="W381" s="421"/>
      <c r="X381" s="375"/>
      <c r="Y381" s="376"/>
    </row>
    <row r="382" spans="2:25" ht="15" outlineLevel="1">
      <c r="B382" s="512">
        <v>42</v>
      </c>
      <c r="C382" s="442"/>
      <c r="D382" s="404"/>
      <c r="E382" s="405"/>
      <c r="F382" s="407"/>
      <c r="G382" s="527"/>
      <c r="H382" s="528"/>
      <c r="I382" s="371"/>
      <c r="J382" s="444"/>
      <c r="K382" s="416"/>
      <c r="L382" s="417"/>
      <c r="M382" s="420"/>
      <c r="P382" s="510"/>
      <c r="Q382" s="511"/>
      <c r="R382" s="444"/>
      <c r="S382" s="416"/>
      <c r="T382" s="417"/>
      <c r="U382" s="420"/>
      <c r="V382" s="420"/>
      <c r="W382" s="421"/>
      <c r="X382" s="375"/>
      <c r="Y382" s="376"/>
    </row>
    <row r="383" spans="2:25" ht="15" outlineLevel="1">
      <c r="B383" s="512">
        <v>43</v>
      </c>
      <c r="C383" s="442"/>
      <c r="D383" s="404"/>
      <c r="E383" s="405"/>
      <c r="F383" s="407"/>
      <c r="G383" s="527"/>
      <c r="H383" s="528"/>
      <c r="I383" s="371"/>
      <c r="J383" s="444"/>
      <c r="K383" s="416"/>
      <c r="L383" s="417"/>
      <c r="M383" s="420"/>
      <c r="P383" s="510"/>
      <c r="Q383" s="511"/>
      <c r="R383" s="444"/>
      <c r="S383" s="416"/>
      <c r="T383" s="417"/>
      <c r="U383" s="420"/>
      <c r="V383" s="420"/>
      <c r="W383" s="421"/>
      <c r="X383" s="375"/>
      <c r="Y383" s="376"/>
    </row>
    <row r="384" spans="2:25" ht="15" outlineLevel="1">
      <c r="B384" s="512">
        <v>44</v>
      </c>
      <c r="C384" s="442"/>
      <c r="D384" s="404"/>
      <c r="E384" s="405"/>
      <c r="F384" s="407"/>
      <c r="G384" s="527"/>
      <c r="H384" s="528"/>
      <c r="I384" s="371"/>
      <c r="J384" s="444"/>
      <c r="K384" s="416"/>
      <c r="L384" s="417"/>
      <c r="M384" s="420"/>
      <c r="P384" s="510"/>
      <c r="Q384" s="511"/>
      <c r="R384" s="444"/>
      <c r="S384" s="416"/>
      <c r="T384" s="417"/>
      <c r="U384" s="420"/>
      <c r="V384" s="420"/>
      <c r="W384" s="421"/>
      <c r="X384" s="375"/>
      <c r="Y384" s="376"/>
    </row>
    <row r="385" spans="2:25" ht="15" outlineLevel="1">
      <c r="B385" s="512">
        <v>45</v>
      </c>
      <c r="C385" s="442"/>
      <c r="D385" s="404"/>
      <c r="E385" s="405"/>
      <c r="F385" s="407"/>
      <c r="G385" s="527"/>
      <c r="H385" s="528"/>
      <c r="I385" s="371"/>
      <c r="J385" s="444"/>
      <c r="K385" s="416"/>
      <c r="L385" s="417"/>
      <c r="M385" s="420"/>
      <c r="P385" s="510"/>
      <c r="Q385" s="511"/>
      <c r="R385" s="444"/>
      <c r="S385" s="416"/>
      <c r="T385" s="417"/>
      <c r="U385" s="420"/>
      <c r="V385" s="420"/>
      <c r="W385" s="421"/>
      <c r="X385" s="375"/>
      <c r="Y385" s="376"/>
    </row>
    <row r="386" spans="2:25" ht="15" outlineLevel="1">
      <c r="B386" s="512">
        <v>46</v>
      </c>
      <c r="C386" s="442"/>
      <c r="D386" s="404"/>
      <c r="E386" s="405"/>
      <c r="F386" s="407"/>
      <c r="G386" s="527"/>
      <c r="H386" s="528"/>
      <c r="I386" s="371"/>
      <c r="J386" s="444"/>
      <c r="K386" s="416"/>
      <c r="L386" s="417"/>
      <c r="M386" s="420"/>
      <c r="P386" s="510"/>
      <c r="Q386" s="511"/>
      <c r="R386" s="444"/>
      <c r="S386" s="416"/>
      <c r="T386" s="417"/>
      <c r="U386" s="420"/>
      <c r="V386" s="420"/>
      <c r="W386" s="421"/>
      <c r="X386" s="375"/>
      <c r="Y386" s="376"/>
    </row>
    <row r="387" spans="2:25" ht="15" outlineLevel="1">
      <c r="B387" s="512">
        <v>47</v>
      </c>
      <c r="C387" s="442"/>
      <c r="D387" s="404"/>
      <c r="E387" s="405"/>
      <c r="F387" s="407"/>
      <c r="G387" s="527"/>
      <c r="H387" s="528"/>
      <c r="I387" s="371"/>
      <c r="J387" s="444"/>
      <c r="K387" s="416"/>
      <c r="L387" s="417"/>
      <c r="M387" s="420"/>
      <c r="P387" s="510"/>
      <c r="Q387" s="511"/>
      <c r="R387" s="444"/>
      <c r="S387" s="416"/>
      <c r="T387" s="417"/>
      <c r="U387" s="420"/>
      <c r="V387" s="420"/>
      <c r="W387" s="421"/>
      <c r="X387" s="375"/>
      <c r="Y387" s="376"/>
    </row>
    <row r="388" spans="2:25" ht="15" outlineLevel="1">
      <c r="B388" s="512">
        <v>48</v>
      </c>
      <c r="C388" s="442"/>
      <c r="D388" s="404"/>
      <c r="E388" s="405"/>
      <c r="F388" s="407"/>
      <c r="G388" s="527"/>
      <c r="H388" s="528"/>
      <c r="I388" s="371"/>
      <c r="J388" s="513"/>
      <c r="K388" s="514"/>
      <c r="L388" s="514"/>
      <c r="M388" s="515"/>
      <c r="P388" s="510"/>
      <c r="Q388" s="511"/>
      <c r="R388" s="444"/>
      <c r="S388" s="416"/>
      <c r="T388" s="417"/>
      <c r="U388" s="420"/>
      <c r="V388" s="420"/>
      <c r="W388" s="421"/>
      <c r="X388" s="375"/>
      <c r="Y388" s="376"/>
    </row>
    <row r="389" spans="2:25" ht="15" outlineLevel="1">
      <c r="B389" s="512">
        <v>49</v>
      </c>
      <c r="C389" s="442"/>
      <c r="D389" s="404"/>
      <c r="E389" s="405"/>
      <c r="F389" s="407"/>
      <c r="G389" s="527"/>
      <c r="H389" s="528"/>
      <c r="I389" s="371"/>
      <c r="J389" s="513"/>
      <c r="K389" s="514"/>
      <c r="L389" s="514"/>
      <c r="M389" s="515"/>
      <c r="P389" s="510"/>
      <c r="Q389" s="511"/>
      <c r="R389" s="444"/>
      <c r="S389" s="416"/>
      <c r="T389" s="417"/>
      <c r="U389" s="420"/>
      <c r="V389" s="420"/>
      <c r="W389" s="421"/>
      <c r="X389" s="375"/>
      <c r="Y389" s="376"/>
    </row>
    <row r="390" spans="2:25" ht="15" outlineLevel="1">
      <c r="B390" s="512">
        <v>50</v>
      </c>
      <c r="C390" s="442"/>
      <c r="D390" s="404"/>
      <c r="E390" s="405"/>
      <c r="F390" s="407"/>
      <c r="G390" s="527"/>
      <c r="H390" s="528"/>
      <c r="I390" s="371"/>
      <c r="J390" s="513"/>
      <c r="K390" s="514"/>
      <c r="L390" s="514"/>
      <c r="M390" s="515"/>
      <c r="P390" s="510"/>
      <c r="Q390" s="511"/>
      <c r="R390" s="444"/>
      <c r="S390" s="416"/>
      <c r="T390" s="417"/>
      <c r="U390" s="420"/>
      <c r="V390" s="420"/>
      <c r="W390" s="421"/>
      <c r="X390" s="375"/>
      <c r="Y390" s="376"/>
    </row>
    <row r="391" spans="2:25" ht="15" outlineLevel="1">
      <c r="B391" s="512">
        <v>51</v>
      </c>
      <c r="C391" s="442"/>
      <c r="D391" s="404"/>
      <c r="E391" s="405"/>
      <c r="F391" s="407"/>
      <c r="G391" s="527"/>
      <c r="H391" s="528"/>
      <c r="I391" s="371"/>
      <c r="J391" s="513"/>
      <c r="K391" s="514"/>
      <c r="L391" s="514"/>
      <c r="M391" s="515"/>
      <c r="P391" s="510"/>
      <c r="Q391" s="511"/>
      <c r="R391" s="444"/>
      <c r="S391" s="416"/>
      <c r="T391" s="417"/>
      <c r="U391" s="420"/>
      <c r="V391" s="420"/>
      <c r="W391" s="421"/>
      <c r="X391" s="375"/>
      <c r="Y391" s="376"/>
    </row>
    <row r="392" spans="2:25" ht="15" outlineLevel="1">
      <c r="B392" s="512">
        <v>52</v>
      </c>
      <c r="C392" s="442"/>
      <c r="D392" s="404"/>
      <c r="E392" s="405"/>
      <c r="F392" s="407"/>
      <c r="G392" s="527"/>
      <c r="H392" s="528"/>
      <c r="I392" s="371"/>
      <c r="J392" s="513"/>
      <c r="K392" s="514"/>
      <c r="L392" s="514"/>
      <c r="M392" s="515"/>
      <c r="P392" s="510"/>
      <c r="Q392" s="511"/>
      <c r="R392" s="444"/>
      <c r="S392" s="416"/>
      <c r="T392" s="417"/>
      <c r="U392" s="420"/>
      <c r="V392" s="420"/>
      <c r="W392" s="421"/>
      <c r="X392" s="375"/>
      <c r="Y392" s="376"/>
    </row>
    <row r="393" spans="2:25" ht="15" outlineLevel="1">
      <c r="B393" s="512">
        <v>53</v>
      </c>
      <c r="C393" s="442"/>
      <c r="D393" s="404"/>
      <c r="E393" s="405"/>
      <c r="F393" s="407"/>
      <c r="G393" s="527"/>
      <c r="H393" s="528"/>
      <c r="I393" s="371"/>
      <c r="J393" s="513"/>
      <c r="K393" s="514"/>
      <c r="L393" s="514"/>
      <c r="M393" s="515"/>
      <c r="P393" s="510"/>
      <c r="Q393" s="511"/>
      <c r="R393" s="444"/>
      <c r="S393" s="416"/>
      <c r="T393" s="417"/>
      <c r="U393" s="420"/>
      <c r="V393" s="420"/>
      <c r="W393" s="421"/>
      <c r="X393" s="375"/>
      <c r="Y393" s="376"/>
    </row>
    <row r="394" spans="2:25" ht="15" outlineLevel="1">
      <c r="B394" s="512">
        <v>54</v>
      </c>
      <c r="C394" s="442"/>
      <c r="D394" s="404"/>
      <c r="E394" s="405"/>
      <c r="F394" s="407"/>
      <c r="G394" s="527"/>
      <c r="H394" s="528"/>
      <c r="I394" s="371"/>
      <c r="J394" s="513"/>
      <c r="K394" s="514"/>
      <c r="L394" s="514"/>
      <c r="M394" s="515"/>
      <c r="P394" s="510"/>
      <c r="Q394" s="511"/>
      <c r="R394" s="444"/>
      <c r="S394" s="416"/>
      <c r="T394" s="417"/>
      <c r="U394" s="420"/>
      <c r="V394" s="420"/>
      <c r="W394" s="421"/>
      <c r="X394" s="375"/>
      <c r="Y394" s="376"/>
    </row>
    <row r="395" spans="2:25" ht="15" outlineLevel="1">
      <c r="B395" s="512">
        <v>55</v>
      </c>
      <c r="C395" s="442"/>
      <c r="D395" s="404"/>
      <c r="E395" s="405"/>
      <c r="F395" s="407"/>
      <c r="G395" s="527"/>
      <c r="H395" s="528"/>
      <c r="I395" s="371"/>
      <c r="J395" s="513"/>
      <c r="K395" s="514"/>
      <c r="L395" s="514"/>
      <c r="M395" s="515"/>
      <c r="P395" s="510"/>
      <c r="Q395" s="511"/>
      <c r="R395" s="444"/>
      <c r="S395" s="416"/>
      <c r="T395" s="417"/>
      <c r="U395" s="420"/>
      <c r="V395" s="420"/>
      <c r="W395" s="421"/>
      <c r="X395" s="375"/>
      <c r="Y395" s="376"/>
    </row>
    <row r="396" spans="2:25" ht="15" outlineLevel="1">
      <c r="B396" s="512">
        <v>56</v>
      </c>
      <c r="C396" s="442"/>
      <c r="D396" s="404"/>
      <c r="E396" s="405"/>
      <c r="F396" s="407"/>
      <c r="G396" s="527"/>
      <c r="H396" s="528"/>
      <c r="I396" s="371"/>
      <c r="J396" s="513"/>
      <c r="K396" s="514"/>
      <c r="L396" s="514"/>
      <c r="M396" s="515"/>
      <c r="P396" s="510"/>
      <c r="Q396" s="511"/>
      <c r="R396" s="444"/>
      <c r="S396" s="416"/>
      <c r="T396" s="417"/>
      <c r="U396" s="420"/>
      <c r="V396" s="420"/>
      <c r="W396" s="421"/>
      <c r="X396" s="375"/>
      <c r="Y396" s="376"/>
    </row>
    <row r="397" spans="2:25" ht="15" outlineLevel="1">
      <c r="B397" s="512">
        <v>57</v>
      </c>
      <c r="C397" s="442"/>
      <c r="D397" s="404"/>
      <c r="E397" s="405"/>
      <c r="F397" s="407"/>
      <c r="G397" s="527"/>
      <c r="H397" s="528"/>
      <c r="I397" s="371"/>
      <c r="J397" s="513"/>
      <c r="K397" s="514"/>
      <c r="L397" s="514"/>
      <c r="M397" s="515"/>
      <c r="P397" s="510"/>
      <c r="Q397" s="511"/>
      <c r="R397" s="444"/>
      <c r="S397" s="416"/>
      <c r="T397" s="417"/>
      <c r="U397" s="420"/>
      <c r="V397" s="420"/>
      <c r="W397" s="421"/>
      <c r="X397" s="375"/>
      <c r="Y397" s="376"/>
    </row>
    <row r="398" spans="2:25" ht="15" outlineLevel="1">
      <c r="B398" s="512">
        <v>58</v>
      </c>
      <c r="C398" s="442"/>
      <c r="D398" s="404"/>
      <c r="E398" s="405"/>
      <c r="F398" s="407"/>
      <c r="G398" s="527"/>
      <c r="H398" s="528"/>
      <c r="I398" s="371"/>
      <c r="J398" s="513"/>
      <c r="K398" s="514"/>
      <c r="L398" s="514"/>
      <c r="M398" s="515"/>
      <c r="P398" s="510"/>
      <c r="Q398" s="511"/>
      <c r="R398" s="444"/>
      <c r="S398" s="416"/>
      <c r="T398" s="417"/>
      <c r="U398" s="420"/>
      <c r="V398" s="420"/>
      <c r="W398" s="421"/>
      <c r="X398" s="375"/>
      <c r="Y398" s="376"/>
    </row>
    <row r="399" spans="2:25" ht="15" outlineLevel="1">
      <c r="B399" s="512">
        <v>59</v>
      </c>
      <c r="C399" s="442"/>
      <c r="D399" s="404"/>
      <c r="E399" s="405"/>
      <c r="F399" s="407"/>
      <c r="G399" s="527"/>
      <c r="H399" s="528"/>
      <c r="I399" s="371"/>
      <c r="J399" s="513"/>
      <c r="K399" s="514"/>
      <c r="L399" s="514"/>
      <c r="M399" s="515"/>
      <c r="P399" s="510"/>
      <c r="Q399" s="511"/>
      <c r="R399" s="444"/>
      <c r="S399" s="416"/>
      <c r="T399" s="417"/>
      <c r="U399" s="420"/>
      <c r="V399" s="420"/>
      <c r="W399" s="421"/>
      <c r="X399" s="375"/>
      <c r="Y399" s="376"/>
    </row>
    <row r="400" spans="2:25" ht="15" outlineLevel="1">
      <c r="B400" s="512">
        <v>60</v>
      </c>
      <c r="C400" s="442"/>
      <c r="D400" s="404"/>
      <c r="E400" s="405"/>
      <c r="F400" s="407"/>
      <c r="G400" s="527"/>
      <c r="H400" s="528"/>
      <c r="I400" s="371"/>
      <c r="J400" s="513"/>
      <c r="K400" s="514"/>
      <c r="L400" s="514"/>
      <c r="M400" s="515"/>
      <c r="P400" s="510"/>
      <c r="Q400" s="511"/>
      <c r="R400" s="444"/>
      <c r="S400" s="416"/>
      <c r="T400" s="417"/>
      <c r="U400" s="420"/>
      <c r="V400" s="420"/>
      <c r="W400" s="421"/>
      <c r="X400" s="375"/>
      <c r="Y400" s="376"/>
    </row>
    <row r="401" spans="2:25" ht="15" outlineLevel="1">
      <c r="B401" s="512">
        <v>61</v>
      </c>
      <c r="C401" s="442"/>
      <c r="D401" s="404"/>
      <c r="E401" s="405"/>
      <c r="F401" s="407"/>
      <c r="G401" s="527"/>
      <c r="H401" s="528"/>
      <c r="I401" s="371"/>
      <c r="J401" s="513"/>
      <c r="K401" s="514"/>
      <c r="L401" s="514"/>
      <c r="M401" s="515"/>
      <c r="P401" s="510"/>
      <c r="Q401" s="511"/>
      <c r="R401" s="444"/>
      <c r="S401" s="416"/>
      <c r="T401" s="417"/>
      <c r="U401" s="420"/>
      <c r="V401" s="420"/>
      <c r="W401" s="421"/>
      <c r="X401" s="375"/>
      <c r="Y401" s="376"/>
    </row>
    <row r="402" spans="2:25" ht="15" outlineLevel="1">
      <c r="B402" s="512">
        <v>62</v>
      </c>
      <c r="C402" s="442"/>
      <c r="D402" s="404"/>
      <c r="E402" s="405"/>
      <c r="F402" s="407"/>
      <c r="G402" s="527"/>
      <c r="H402" s="528"/>
      <c r="I402" s="371"/>
      <c r="J402" s="513"/>
      <c r="K402" s="514"/>
      <c r="L402" s="514"/>
      <c r="M402" s="515"/>
      <c r="P402" s="510"/>
      <c r="Q402" s="511"/>
      <c r="R402" s="444"/>
      <c r="S402" s="416"/>
      <c r="T402" s="417"/>
      <c r="U402" s="420"/>
      <c r="V402" s="420"/>
      <c r="W402" s="421"/>
      <c r="X402" s="375"/>
      <c r="Y402" s="376"/>
    </row>
    <row r="403" spans="2:25" ht="15" outlineLevel="1">
      <c r="B403" s="512">
        <v>63</v>
      </c>
      <c r="C403" s="442"/>
      <c r="D403" s="404"/>
      <c r="E403" s="405"/>
      <c r="F403" s="407"/>
      <c r="G403" s="527"/>
      <c r="H403" s="528"/>
      <c r="I403" s="371"/>
      <c r="J403" s="513"/>
      <c r="K403" s="514"/>
      <c r="L403" s="514"/>
      <c r="M403" s="515"/>
      <c r="P403" s="510"/>
      <c r="Q403" s="511"/>
      <c r="R403" s="444"/>
      <c r="S403" s="416"/>
      <c r="T403" s="417"/>
      <c r="U403" s="420"/>
      <c r="V403" s="420"/>
      <c r="W403" s="421"/>
      <c r="X403" s="375"/>
      <c r="Y403" s="376"/>
    </row>
    <row r="404" spans="2:25" ht="15" outlineLevel="1">
      <c r="B404" s="512">
        <v>64</v>
      </c>
      <c r="C404" s="442"/>
      <c r="D404" s="404"/>
      <c r="E404" s="405"/>
      <c r="F404" s="407"/>
      <c r="G404" s="527"/>
      <c r="H404" s="528"/>
      <c r="I404" s="371"/>
      <c r="J404" s="513"/>
      <c r="K404" s="514"/>
      <c r="L404" s="514"/>
      <c r="M404" s="515"/>
      <c r="P404" s="510"/>
      <c r="Q404" s="511"/>
      <c r="R404" s="444"/>
      <c r="S404" s="416"/>
      <c r="T404" s="417"/>
      <c r="U404" s="420"/>
      <c r="V404" s="420"/>
      <c r="W404" s="421"/>
      <c r="X404" s="375"/>
      <c r="Y404" s="376"/>
    </row>
    <row r="405" spans="2:25" ht="15" outlineLevel="1">
      <c r="B405" s="512">
        <v>65</v>
      </c>
      <c r="C405" s="442"/>
      <c r="D405" s="404"/>
      <c r="E405" s="405"/>
      <c r="F405" s="407"/>
      <c r="G405" s="527"/>
      <c r="H405" s="528"/>
      <c r="I405" s="371"/>
      <c r="J405" s="513"/>
      <c r="K405" s="514"/>
      <c r="L405" s="514"/>
      <c r="M405" s="515"/>
      <c r="P405" s="510"/>
      <c r="Q405" s="511"/>
      <c r="R405" s="444"/>
      <c r="S405" s="416"/>
      <c r="T405" s="417"/>
      <c r="U405" s="420"/>
      <c r="V405" s="420"/>
      <c r="W405" s="421"/>
      <c r="X405" s="375"/>
      <c r="Y405" s="376"/>
    </row>
    <row r="406" spans="2:25" ht="15" outlineLevel="1">
      <c r="B406" s="512">
        <v>66</v>
      </c>
      <c r="C406" s="442"/>
      <c r="D406" s="404"/>
      <c r="E406" s="405"/>
      <c r="F406" s="407"/>
      <c r="G406" s="527"/>
      <c r="H406" s="528"/>
      <c r="I406" s="371"/>
      <c r="J406" s="513"/>
      <c r="K406" s="514"/>
      <c r="L406" s="514"/>
      <c r="M406" s="515"/>
      <c r="P406" s="510"/>
      <c r="Q406" s="511"/>
      <c r="R406" s="444"/>
      <c r="S406" s="416"/>
      <c r="T406" s="417"/>
      <c r="U406" s="420"/>
      <c r="V406" s="420"/>
      <c r="W406" s="421"/>
      <c r="X406" s="375"/>
      <c r="Y406" s="376"/>
    </row>
    <row r="407" spans="2:25" ht="15" outlineLevel="1">
      <c r="B407" s="512">
        <v>67</v>
      </c>
      <c r="C407" s="442"/>
      <c r="D407" s="404"/>
      <c r="E407" s="405"/>
      <c r="F407" s="407"/>
      <c r="G407" s="527"/>
      <c r="H407" s="528"/>
      <c r="I407" s="371"/>
      <c r="J407" s="513"/>
      <c r="K407" s="514"/>
      <c r="L407" s="514"/>
      <c r="M407" s="515"/>
      <c r="P407" s="510"/>
      <c r="Q407" s="511"/>
      <c r="R407" s="444"/>
      <c r="S407" s="416"/>
      <c r="T407" s="417"/>
      <c r="U407" s="420"/>
      <c r="V407" s="420"/>
      <c r="W407" s="421"/>
      <c r="X407" s="375"/>
      <c r="Y407" s="376"/>
    </row>
    <row r="408" spans="2:25" ht="15" outlineLevel="1">
      <c r="B408" s="512">
        <v>68</v>
      </c>
      <c r="C408" s="442"/>
      <c r="D408" s="404"/>
      <c r="E408" s="405"/>
      <c r="F408" s="407"/>
      <c r="G408" s="527"/>
      <c r="H408" s="528"/>
      <c r="I408" s="371"/>
      <c r="J408" s="513"/>
      <c r="K408" s="514"/>
      <c r="L408" s="514"/>
      <c r="M408" s="515"/>
      <c r="P408" s="510"/>
      <c r="Q408" s="511"/>
      <c r="R408" s="444"/>
      <c r="S408" s="416"/>
      <c r="T408" s="417"/>
      <c r="U408" s="420"/>
      <c r="V408" s="420"/>
      <c r="W408" s="421"/>
      <c r="X408" s="375"/>
      <c r="Y408" s="376"/>
    </row>
    <row r="409" spans="2:25" ht="15" outlineLevel="1">
      <c r="B409" s="512">
        <v>69</v>
      </c>
      <c r="C409" s="442"/>
      <c r="D409" s="404"/>
      <c r="E409" s="405"/>
      <c r="F409" s="407"/>
      <c r="G409" s="527"/>
      <c r="H409" s="528"/>
      <c r="I409" s="371"/>
      <c r="J409" s="513"/>
      <c r="K409" s="514"/>
      <c r="L409" s="514"/>
      <c r="M409" s="515"/>
      <c r="P409" s="510"/>
      <c r="Q409" s="511"/>
      <c r="R409" s="444"/>
      <c r="S409" s="416"/>
      <c r="T409" s="417"/>
      <c r="U409" s="420"/>
      <c r="V409" s="420"/>
      <c r="W409" s="421"/>
      <c r="X409" s="375"/>
      <c r="Y409" s="376"/>
    </row>
    <row r="410" spans="2:25" ht="15" outlineLevel="1">
      <c r="B410" s="512">
        <v>70</v>
      </c>
      <c r="C410" s="442"/>
      <c r="D410" s="404"/>
      <c r="E410" s="405"/>
      <c r="F410" s="407"/>
      <c r="G410" s="527"/>
      <c r="H410" s="528"/>
      <c r="I410" s="371"/>
      <c r="J410" s="513"/>
      <c r="K410" s="514"/>
      <c r="L410" s="514"/>
      <c r="M410" s="515"/>
      <c r="P410" s="510"/>
      <c r="Q410" s="511"/>
      <c r="R410" s="444"/>
      <c r="S410" s="416"/>
      <c r="T410" s="417"/>
      <c r="U410" s="420"/>
      <c r="V410" s="420"/>
      <c r="W410" s="421"/>
      <c r="X410" s="375"/>
      <c r="Y410" s="376"/>
    </row>
    <row r="411" spans="2:25" ht="15" outlineLevel="1">
      <c r="B411" s="512">
        <v>71</v>
      </c>
      <c r="C411" s="442"/>
      <c r="D411" s="404"/>
      <c r="E411" s="405"/>
      <c r="F411" s="407"/>
      <c r="G411" s="527"/>
      <c r="H411" s="528"/>
      <c r="I411" s="371"/>
      <c r="J411" s="513"/>
      <c r="K411" s="514"/>
      <c r="L411" s="514"/>
      <c r="M411" s="515"/>
      <c r="P411" s="510"/>
      <c r="Q411" s="511"/>
      <c r="R411" s="444"/>
      <c r="S411" s="416"/>
      <c r="T411" s="417"/>
      <c r="U411" s="420"/>
      <c r="V411" s="420"/>
      <c r="W411" s="421"/>
      <c r="X411" s="375"/>
      <c r="Y411" s="376"/>
    </row>
    <row r="412" spans="2:25" ht="15" outlineLevel="1">
      <c r="B412" s="512">
        <v>72</v>
      </c>
      <c r="C412" s="442"/>
      <c r="D412" s="404"/>
      <c r="E412" s="405"/>
      <c r="F412" s="407"/>
      <c r="G412" s="527"/>
      <c r="H412" s="528"/>
      <c r="I412" s="371"/>
      <c r="J412" s="513"/>
      <c r="K412" s="514"/>
      <c r="L412" s="514"/>
      <c r="M412" s="515"/>
      <c r="P412" s="510"/>
      <c r="Q412" s="511"/>
      <c r="R412" s="444"/>
      <c r="S412" s="416"/>
      <c r="T412" s="417"/>
      <c r="U412" s="420"/>
      <c r="V412" s="420"/>
      <c r="W412" s="421"/>
      <c r="X412" s="375"/>
      <c r="Y412" s="376"/>
    </row>
    <row r="413" spans="2:25" ht="15" outlineLevel="1">
      <c r="B413" s="512">
        <v>73</v>
      </c>
      <c r="C413" s="442"/>
      <c r="D413" s="404"/>
      <c r="E413" s="405"/>
      <c r="F413" s="407"/>
      <c r="G413" s="527"/>
      <c r="H413" s="528"/>
      <c r="I413" s="371"/>
      <c r="J413" s="513"/>
      <c r="K413" s="514"/>
      <c r="L413" s="514"/>
      <c r="M413" s="515"/>
      <c r="P413" s="510"/>
      <c r="Q413" s="511"/>
      <c r="R413" s="444"/>
      <c r="S413" s="416"/>
      <c r="T413" s="417"/>
      <c r="U413" s="420"/>
      <c r="V413" s="420"/>
      <c r="W413" s="421"/>
      <c r="X413" s="375"/>
      <c r="Y413" s="376"/>
    </row>
    <row r="414" spans="2:25" ht="15" outlineLevel="1">
      <c r="B414" s="512">
        <v>74</v>
      </c>
      <c r="C414" s="442"/>
      <c r="D414" s="404"/>
      <c r="E414" s="405"/>
      <c r="F414" s="407"/>
      <c r="G414" s="527"/>
      <c r="H414" s="528"/>
      <c r="I414" s="371"/>
      <c r="J414" s="513"/>
      <c r="K414" s="514"/>
      <c r="L414" s="514"/>
      <c r="M414" s="515"/>
      <c r="P414" s="510"/>
      <c r="Q414" s="511"/>
      <c r="R414" s="444"/>
      <c r="S414" s="416"/>
      <c r="T414" s="417"/>
      <c r="U414" s="420"/>
      <c r="V414" s="420"/>
      <c r="W414" s="421"/>
      <c r="X414" s="375"/>
      <c r="Y414" s="376"/>
    </row>
    <row r="415" spans="2:25" ht="15" outlineLevel="1">
      <c r="B415" s="512">
        <v>75</v>
      </c>
      <c r="C415" s="442"/>
      <c r="D415" s="404"/>
      <c r="E415" s="405"/>
      <c r="F415" s="407"/>
      <c r="G415" s="527"/>
      <c r="H415" s="528"/>
      <c r="I415" s="371"/>
      <c r="J415" s="513"/>
      <c r="K415" s="514"/>
      <c r="L415" s="514"/>
      <c r="M415" s="515"/>
      <c r="P415" s="510"/>
      <c r="Q415" s="511"/>
      <c r="R415" s="444"/>
      <c r="S415" s="416"/>
      <c r="T415" s="417"/>
      <c r="U415" s="420"/>
      <c r="V415" s="420"/>
      <c r="W415" s="421"/>
      <c r="X415" s="375"/>
      <c r="Y415" s="376"/>
    </row>
    <row r="416" spans="2:25" ht="15" outlineLevel="1">
      <c r="B416" s="512">
        <v>76</v>
      </c>
      <c r="C416" s="442"/>
      <c r="D416" s="404"/>
      <c r="E416" s="405"/>
      <c r="F416" s="407"/>
      <c r="G416" s="527"/>
      <c r="H416" s="528"/>
      <c r="I416" s="371"/>
      <c r="J416" s="513"/>
      <c r="K416" s="514"/>
      <c r="L416" s="514"/>
      <c r="M416" s="515"/>
      <c r="P416" s="510"/>
      <c r="Q416" s="511"/>
      <c r="R416" s="444"/>
      <c r="S416" s="416"/>
      <c r="T416" s="417"/>
      <c r="U416" s="420"/>
      <c r="V416" s="420"/>
      <c r="W416" s="421"/>
      <c r="X416" s="375"/>
      <c r="Y416" s="376"/>
    </row>
    <row r="417" spans="2:25" ht="15" outlineLevel="1">
      <c r="B417" s="512">
        <v>77</v>
      </c>
      <c r="C417" s="442"/>
      <c r="D417" s="404"/>
      <c r="E417" s="405"/>
      <c r="F417" s="407"/>
      <c r="G417" s="527"/>
      <c r="H417" s="528"/>
      <c r="I417" s="371"/>
      <c r="J417" s="513"/>
      <c r="K417" s="514"/>
      <c r="L417" s="514"/>
      <c r="M417" s="515"/>
      <c r="P417" s="510"/>
      <c r="Q417" s="511"/>
      <c r="R417" s="444"/>
      <c r="S417" s="416"/>
      <c r="T417" s="417"/>
      <c r="U417" s="420"/>
      <c r="V417" s="420"/>
      <c r="W417" s="421"/>
      <c r="X417" s="375"/>
      <c r="Y417" s="376"/>
    </row>
    <row r="418" spans="2:25" ht="15" outlineLevel="1">
      <c r="B418" s="512">
        <v>78</v>
      </c>
      <c r="C418" s="442"/>
      <c r="D418" s="404"/>
      <c r="E418" s="405"/>
      <c r="F418" s="407"/>
      <c r="G418" s="527"/>
      <c r="H418" s="528"/>
      <c r="I418" s="371"/>
      <c r="J418" s="513"/>
      <c r="K418" s="514"/>
      <c r="L418" s="514"/>
      <c r="M418" s="515"/>
      <c r="P418" s="511"/>
      <c r="Q418" s="511"/>
      <c r="R418" s="444"/>
      <c r="S418" s="416"/>
      <c r="T418" s="417"/>
      <c r="U418" s="420"/>
      <c r="V418" s="420"/>
      <c r="W418" s="421"/>
      <c r="X418" s="375"/>
      <c r="Y418" s="376"/>
    </row>
    <row r="419" spans="2:25" ht="15" outlineLevel="1">
      <c r="B419" s="512">
        <v>79</v>
      </c>
      <c r="C419" s="442"/>
      <c r="D419" s="404"/>
      <c r="E419" s="405"/>
      <c r="F419" s="407"/>
      <c r="G419" s="527"/>
      <c r="H419" s="528"/>
      <c r="I419" s="371"/>
      <c r="J419" s="513"/>
      <c r="K419" s="514"/>
      <c r="L419" s="514"/>
      <c r="M419" s="515"/>
      <c r="P419" s="511"/>
      <c r="Q419" s="511"/>
      <c r="R419" s="444"/>
      <c r="S419" s="416"/>
      <c r="T419" s="417"/>
      <c r="U419" s="420"/>
      <c r="V419" s="420"/>
      <c r="W419" s="421"/>
      <c r="X419" s="375"/>
      <c r="Y419" s="376"/>
    </row>
    <row r="420" spans="2:25" ht="15" outlineLevel="1">
      <c r="B420" s="512">
        <v>80</v>
      </c>
      <c r="C420" s="442"/>
      <c r="D420" s="404"/>
      <c r="E420" s="405"/>
      <c r="F420" s="407"/>
      <c r="G420" s="527"/>
      <c r="H420" s="528"/>
      <c r="I420" s="371"/>
      <c r="J420" s="513"/>
      <c r="K420" s="514"/>
      <c r="L420" s="514"/>
      <c r="M420" s="515"/>
      <c r="P420" s="511"/>
      <c r="Q420" s="511"/>
      <c r="R420" s="444"/>
      <c r="S420" s="416"/>
      <c r="T420" s="417"/>
      <c r="U420" s="420"/>
      <c r="V420" s="420"/>
      <c r="W420" s="421"/>
      <c r="X420" s="375"/>
      <c r="Y420" s="376"/>
    </row>
    <row r="421" spans="2:25" ht="15" outlineLevel="1">
      <c r="B421" s="512">
        <v>81</v>
      </c>
      <c r="C421" s="442"/>
      <c r="D421" s="404"/>
      <c r="E421" s="405"/>
      <c r="F421" s="407"/>
      <c r="G421" s="527"/>
      <c r="H421" s="528"/>
      <c r="I421" s="371"/>
      <c r="J421" s="513"/>
      <c r="K421" s="514"/>
      <c r="L421" s="514"/>
      <c r="M421" s="515"/>
      <c r="P421" s="510"/>
      <c r="Q421" s="511"/>
      <c r="R421" s="444"/>
      <c r="S421" s="416"/>
      <c r="T421" s="417"/>
      <c r="U421" s="422"/>
      <c r="V421" s="423"/>
      <c r="W421" s="421"/>
      <c r="X421" s="375"/>
      <c r="Y421" s="376"/>
    </row>
    <row r="422" spans="2:25" ht="15" outlineLevel="1">
      <c r="B422" s="512">
        <v>82</v>
      </c>
      <c r="C422" s="442"/>
      <c r="D422" s="404"/>
      <c r="E422" s="405"/>
      <c r="F422" s="407"/>
      <c r="G422" s="527"/>
      <c r="H422" s="528"/>
      <c r="I422" s="371"/>
      <c r="J422" s="513"/>
      <c r="K422" s="514"/>
      <c r="L422" s="514"/>
      <c r="M422" s="515"/>
      <c r="P422" s="510"/>
      <c r="Q422" s="511"/>
      <c r="R422" s="444"/>
      <c r="S422" s="416"/>
      <c r="T422" s="417"/>
      <c r="U422" s="420"/>
      <c r="V422" s="420"/>
      <c r="W422" s="421"/>
      <c r="X422" s="375"/>
      <c r="Y422" s="376"/>
    </row>
    <row r="423" spans="2:25" ht="15" outlineLevel="1">
      <c r="B423" s="512">
        <v>83</v>
      </c>
      <c r="C423" s="442"/>
      <c r="D423" s="404"/>
      <c r="E423" s="405"/>
      <c r="F423" s="407"/>
      <c r="G423" s="527"/>
      <c r="H423" s="528"/>
      <c r="I423" s="371"/>
      <c r="J423" s="513"/>
      <c r="K423" s="514"/>
      <c r="L423" s="514"/>
      <c r="M423" s="515"/>
      <c r="P423" s="510"/>
      <c r="Q423" s="511"/>
      <c r="R423" s="444"/>
      <c r="S423" s="416"/>
      <c r="T423" s="417"/>
      <c r="U423" s="420"/>
      <c r="V423" s="420"/>
      <c r="W423" s="421"/>
      <c r="X423" s="375"/>
      <c r="Y423" s="376"/>
    </row>
    <row r="424" spans="2:25" ht="15" outlineLevel="1">
      <c r="B424" s="512">
        <v>84</v>
      </c>
      <c r="C424" s="442"/>
      <c r="D424" s="404"/>
      <c r="E424" s="405"/>
      <c r="F424" s="407"/>
      <c r="G424" s="527"/>
      <c r="H424" s="528"/>
      <c r="I424" s="371"/>
      <c r="J424" s="513"/>
      <c r="K424" s="514"/>
      <c r="L424" s="514"/>
      <c r="M424" s="515"/>
      <c r="P424" s="510"/>
      <c r="Q424" s="511"/>
      <c r="R424" s="444"/>
      <c r="S424" s="416"/>
      <c r="T424" s="417"/>
      <c r="U424" s="420"/>
      <c r="V424" s="420"/>
      <c r="W424" s="421"/>
      <c r="X424" s="375"/>
      <c r="Y424" s="376"/>
    </row>
    <row r="425" spans="2:25" ht="15" outlineLevel="1">
      <c r="B425" s="512">
        <v>85</v>
      </c>
      <c r="C425" s="442"/>
      <c r="D425" s="404"/>
      <c r="E425" s="405"/>
      <c r="F425" s="407"/>
      <c r="G425" s="527"/>
      <c r="H425" s="528"/>
      <c r="I425" s="371"/>
      <c r="J425" s="513"/>
      <c r="K425" s="514"/>
      <c r="L425" s="514"/>
      <c r="M425" s="515"/>
      <c r="P425" s="510"/>
      <c r="Q425" s="511"/>
      <c r="R425" s="444"/>
      <c r="S425" s="416"/>
      <c r="T425" s="417"/>
      <c r="U425" s="420"/>
      <c r="V425" s="420"/>
      <c r="W425" s="421"/>
      <c r="X425" s="375"/>
      <c r="Y425" s="376"/>
    </row>
    <row r="426" spans="2:25" ht="15" outlineLevel="1">
      <c r="B426" s="512">
        <v>86</v>
      </c>
      <c r="C426" s="442"/>
      <c r="D426" s="404"/>
      <c r="E426" s="405"/>
      <c r="F426" s="407"/>
      <c r="G426" s="527"/>
      <c r="H426" s="528"/>
      <c r="I426" s="371"/>
      <c r="J426" s="513"/>
      <c r="K426" s="514"/>
      <c r="L426" s="514"/>
      <c r="M426" s="515"/>
      <c r="P426" s="510"/>
      <c r="Q426" s="511"/>
      <c r="R426" s="444"/>
      <c r="S426" s="416"/>
      <c r="T426" s="417"/>
      <c r="U426" s="420"/>
      <c r="V426" s="420"/>
      <c r="W426" s="421"/>
      <c r="X426" s="375"/>
      <c r="Y426" s="376"/>
    </row>
    <row r="427" spans="2:25" ht="15" outlineLevel="1">
      <c r="B427" s="512">
        <v>87</v>
      </c>
      <c r="C427" s="442"/>
      <c r="D427" s="404"/>
      <c r="E427" s="405"/>
      <c r="F427" s="407"/>
      <c r="G427" s="527"/>
      <c r="H427" s="528"/>
      <c r="I427" s="371"/>
      <c r="J427" s="513"/>
      <c r="K427" s="514"/>
      <c r="L427" s="514"/>
      <c r="M427" s="515"/>
      <c r="P427" s="510"/>
      <c r="Q427" s="511"/>
      <c r="R427" s="444"/>
      <c r="S427" s="416"/>
      <c r="T427" s="417"/>
      <c r="U427" s="420"/>
      <c r="V427" s="420"/>
      <c r="W427" s="421"/>
      <c r="X427" s="375"/>
      <c r="Y427" s="376"/>
    </row>
    <row r="428" spans="2:25" ht="15" outlineLevel="1">
      <c r="B428" s="512">
        <v>88</v>
      </c>
      <c r="C428" s="442"/>
      <c r="D428" s="404"/>
      <c r="E428" s="405"/>
      <c r="F428" s="407"/>
      <c r="G428" s="527"/>
      <c r="H428" s="528"/>
      <c r="I428" s="371"/>
      <c r="J428" s="513"/>
      <c r="K428" s="514"/>
      <c r="L428" s="514"/>
      <c r="M428" s="515"/>
      <c r="P428" s="510"/>
      <c r="Q428" s="511"/>
      <c r="R428" s="444"/>
      <c r="S428" s="416"/>
      <c r="T428" s="417"/>
      <c r="U428" s="420"/>
      <c r="V428" s="420"/>
      <c r="W428" s="421"/>
      <c r="X428" s="375"/>
      <c r="Y428" s="376"/>
    </row>
    <row r="429" spans="2:25" ht="15" outlineLevel="1">
      <c r="B429" s="512">
        <v>89</v>
      </c>
      <c r="C429" s="442"/>
      <c r="D429" s="404"/>
      <c r="E429" s="405"/>
      <c r="F429" s="407"/>
      <c r="G429" s="527"/>
      <c r="H429" s="528"/>
      <c r="I429" s="371"/>
      <c r="J429" s="513"/>
      <c r="K429" s="514"/>
      <c r="L429" s="514"/>
      <c r="M429" s="515"/>
      <c r="P429" s="510"/>
      <c r="Q429" s="511"/>
      <c r="R429" s="444"/>
      <c r="S429" s="416"/>
      <c r="T429" s="417"/>
      <c r="U429" s="420"/>
      <c r="V429" s="420"/>
      <c r="W429" s="421"/>
      <c r="X429" s="375"/>
      <c r="Y429" s="376"/>
    </row>
    <row r="430" spans="2:25" ht="15" outlineLevel="1">
      <c r="B430" s="512">
        <v>90</v>
      </c>
      <c r="C430" s="442"/>
      <c r="D430" s="404"/>
      <c r="E430" s="405"/>
      <c r="F430" s="407"/>
      <c r="G430" s="527"/>
      <c r="H430" s="528"/>
      <c r="I430" s="371"/>
      <c r="J430" s="513"/>
      <c r="K430" s="514"/>
      <c r="L430" s="514"/>
      <c r="M430" s="515"/>
      <c r="P430" s="510"/>
      <c r="Q430" s="511"/>
      <c r="R430" s="444"/>
      <c r="S430" s="416"/>
      <c r="T430" s="417"/>
      <c r="U430" s="420"/>
      <c r="V430" s="420"/>
      <c r="W430" s="421"/>
      <c r="X430" s="375"/>
      <c r="Y430" s="376"/>
    </row>
    <row r="431" spans="2:25" ht="15" outlineLevel="1">
      <c r="B431" s="512">
        <v>91</v>
      </c>
      <c r="C431" s="442"/>
      <c r="D431" s="404"/>
      <c r="E431" s="405"/>
      <c r="F431" s="407"/>
      <c r="G431" s="527"/>
      <c r="H431" s="528"/>
      <c r="I431" s="371"/>
      <c r="J431" s="513"/>
      <c r="K431" s="514"/>
      <c r="L431" s="514"/>
      <c r="M431" s="515"/>
      <c r="P431" s="510"/>
      <c r="Q431" s="511"/>
      <c r="R431" s="444"/>
      <c r="S431" s="416"/>
      <c r="T431" s="417"/>
      <c r="U431" s="420"/>
      <c r="V431" s="420"/>
      <c r="W431" s="421"/>
      <c r="X431" s="375"/>
      <c r="Y431" s="376"/>
    </row>
    <row r="432" spans="2:25" ht="15" outlineLevel="1">
      <c r="B432" s="512">
        <v>92</v>
      </c>
      <c r="C432" s="442"/>
      <c r="D432" s="404"/>
      <c r="E432" s="405"/>
      <c r="F432" s="407"/>
      <c r="G432" s="527"/>
      <c r="H432" s="528"/>
      <c r="I432" s="371"/>
      <c r="J432" s="513"/>
      <c r="K432" s="514"/>
      <c r="L432" s="514"/>
      <c r="M432" s="515"/>
      <c r="P432" s="510"/>
      <c r="Q432" s="511"/>
      <c r="R432" s="444"/>
      <c r="S432" s="416"/>
      <c r="T432" s="417"/>
      <c r="U432" s="420"/>
      <c r="V432" s="420"/>
      <c r="W432" s="421"/>
      <c r="X432" s="375"/>
      <c r="Y432" s="376"/>
    </row>
    <row r="433" spans="2:25" ht="15" outlineLevel="1">
      <c r="B433" s="512">
        <v>93</v>
      </c>
      <c r="C433" s="442"/>
      <c r="D433" s="404"/>
      <c r="E433" s="405"/>
      <c r="F433" s="407"/>
      <c r="G433" s="527"/>
      <c r="H433" s="528"/>
      <c r="I433" s="371"/>
      <c r="J433" s="513"/>
      <c r="K433" s="514"/>
      <c r="L433" s="514"/>
      <c r="M433" s="515"/>
      <c r="P433" s="510"/>
      <c r="Q433" s="511"/>
      <c r="R433" s="444"/>
      <c r="S433" s="416"/>
      <c r="T433" s="417"/>
      <c r="U433" s="420"/>
      <c r="V433" s="420"/>
      <c r="W433" s="421"/>
      <c r="X433" s="375"/>
      <c r="Y433" s="376"/>
    </row>
    <row r="434" spans="2:25" ht="15" outlineLevel="1">
      <c r="B434" s="512">
        <v>94</v>
      </c>
      <c r="C434" s="442"/>
      <c r="D434" s="404"/>
      <c r="E434" s="405"/>
      <c r="F434" s="407"/>
      <c r="G434" s="527"/>
      <c r="H434" s="528"/>
      <c r="I434" s="371"/>
      <c r="J434" s="513"/>
      <c r="K434" s="514"/>
      <c r="L434" s="514"/>
      <c r="M434" s="515"/>
      <c r="P434" s="510"/>
      <c r="Q434" s="511"/>
      <c r="R434" s="444"/>
      <c r="S434" s="416"/>
      <c r="T434" s="417"/>
      <c r="U434" s="420"/>
      <c r="V434" s="420"/>
      <c r="W434" s="421"/>
      <c r="X434" s="375"/>
      <c r="Y434" s="376"/>
    </row>
    <row r="435" spans="2:25" ht="15" outlineLevel="1">
      <c r="B435" s="512">
        <v>95</v>
      </c>
      <c r="C435" s="442"/>
      <c r="D435" s="404"/>
      <c r="E435" s="405"/>
      <c r="F435" s="407"/>
      <c r="G435" s="527"/>
      <c r="H435" s="528"/>
      <c r="I435" s="371"/>
      <c r="J435" s="513"/>
      <c r="K435" s="514"/>
      <c r="L435" s="514"/>
      <c r="M435" s="515"/>
      <c r="P435" s="510"/>
      <c r="Q435" s="511"/>
      <c r="R435" s="444"/>
      <c r="S435" s="416"/>
      <c r="T435" s="417"/>
      <c r="U435" s="420"/>
      <c r="V435" s="420"/>
      <c r="W435" s="421"/>
      <c r="X435" s="375"/>
      <c r="Y435" s="376"/>
    </row>
    <row r="436" spans="2:25" ht="15" outlineLevel="1">
      <c r="B436" s="512">
        <v>96</v>
      </c>
      <c r="C436" s="442"/>
      <c r="D436" s="404"/>
      <c r="E436" s="405"/>
      <c r="F436" s="407"/>
      <c r="G436" s="527"/>
      <c r="H436" s="528"/>
      <c r="I436" s="371"/>
      <c r="J436" s="513"/>
      <c r="K436" s="514"/>
      <c r="L436" s="514"/>
      <c r="M436" s="515"/>
      <c r="P436" s="510"/>
      <c r="Q436" s="511"/>
      <c r="R436" s="444"/>
      <c r="S436" s="416"/>
      <c r="T436" s="417"/>
      <c r="U436" s="420"/>
      <c r="V436" s="420"/>
      <c r="W436" s="421"/>
      <c r="X436" s="375"/>
      <c r="Y436" s="376"/>
    </row>
    <row r="437" spans="2:25" ht="15" outlineLevel="1">
      <c r="B437" s="512">
        <v>97</v>
      </c>
      <c r="C437" s="442"/>
      <c r="D437" s="404"/>
      <c r="E437" s="405"/>
      <c r="F437" s="407"/>
      <c r="G437" s="527"/>
      <c r="H437" s="528"/>
      <c r="I437" s="371"/>
      <c r="J437" s="513"/>
      <c r="K437" s="514"/>
      <c r="L437" s="514"/>
      <c r="M437" s="515"/>
      <c r="P437" s="510"/>
      <c r="Q437" s="511"/>
      <c r="R437" s="444"/>
      <c r="S437" s="416"/>
      <c r="T437" s="417"/>
      <c r="U437" s="420"/>
      <c r="V437" s="420"/>
      <c r="W437" s="421"/>
      <c r="X437" s="375"/>
      <c r="Y437" s="376"/>
    </row>
    <row r="438" spans="2:25" ht="15" outlineLevel="1">
      <c r="B438" s="512">
        <v>98</v>
      </c>
      <c r="C438" s="442"/>
      <c r="D438" s="404"/>
      <c r="E438" s="405"/>
      <c r="F438" s="407"/>
      <c r="G438" s="527"/>
      <c r="H438" s="528"/>
      <c r="I438" s="371"/>
      <c r="J438" s="513"/>
      <c r="K438" s="514"/>
      <c r="L438" s="514"/>
      <c r="M438" s="515"/>
      <c r="P438" s="510"/>
      <c r="Q438" s="511"/>
      <c r="R438" s="444"/>
      <c r="S438" s="416"/>
      <c r="T438" s="417"/>
      <c r="U438" s="420"/>
      <c r="V438" s="420"/>
      <c r="W438" s="421"/>
      <c r="X438" s="375"/>
      <c r="Y438" s="376"/>
    </row>
    <row r="439" spans="2:25" ht="15" outlineLevel="1">
      <c r="B439" s="512">
        <v>99</v>
      </c>
      <c r="C439" s="442"/>
      <c r="D439" s="404"/>
      <c r="E439" s="405"/>
      <c r="F439" s="407"/>
      <c r="G439" s="527"/>
      <c r="H439" s="528"/>
      <c r="I439" s="371"/>
      <c r="J439" s="513"/>
      <c r="K439" s="514"/>
      <c r="L439" s="514"/>
      <c r="M439" s="515"/>
      <c r="P439" s="510"/>
      <c r="Q439" s="511"/>
      <c r="R439" s="444"/>
      <c r="S439" s="416"/>
      <c r="T439" s="417"/>
      <c r="U439" s="420"/>
      <c r="V439" s="420"/>
      <c r="W439" s="421"/>
      <c r="X439" s="375"/>
      <c r="Y439" s="376"/>
    </row>
    <row r="440" spans="2:25" ht="15" outlineLevel="1">
      <c r="B440" s="512">
        <v>100</v>
      </c>
      <c r="C440" s="442"/>
      <c r="D440" s="404"/>
      <c r="E440" s="405"/>
      <c r="F440" s="407"/>
      <c r="G440" s="527"/>
      <c r="H440" s="528"/>
      <c r="I440" s="371"/>
      <c r="J440" s="513"/>
      <c r="K440" s="514"/>
      <c r="L440" s="514"/>
      <c r="M440" s="515"/>
      <c r="P440" s="510"/>
      <c r="Q440" s="511"/>
      <c r="R440" s="444"/>
      <c r="S440" s="416"/>
      <c r="T440" s="417"/>
      <c r="U440" s="420"/>
      <c r="V440" s="420"/>
      <c r="W440" s="421"/>
      <c r="X440" s="375"/>
      <c r="Y440" s="376"/>
    </row>
    <row r="441" spans="2:25" ht="15" outlineLevel="1">
      <c r="B441" s="512">
        <v>101</v>
      </c>
      <c r="C441" s="442"/>
      <c r="D441" s="404"/>
      <c r="E441" s="405"/>
      <c r="F441" s="407"/>
      <c r="G441" s="527"/>
      <c r="H441" s="528"/>
      <c r="I441" s="371"/>
      <c r="J441" s="513"/>
      <c r="K441" s="514"/>
      <c r="L441" s="514"/>
      <c r="M441" s="515"/>
      <c r="P441" s="510"/>
      <c r="Q441" s="511"/>
      <c r="R441" s="444"/>
      <c r="S441" s="416"/>
      <c r="T441" s="417"/>
      <c r="U441" s="420"/>
      <c r="V441" s="420"/>
      <c r="W441" s="421"/>
      <c r="X441" s="375"/>
      <c r="Y441" s="376"/>
    </row>
    <row r="442" spans="2:25" ht="15" outlineLevel="1">
      <c r="B442" s="512">
        <v>102</v>
      </c>
      <c r="C442" s="442"/>
      <c r="D442" s="404"/>
      <c r="E442" s="405"/>
      <c r="F442" s="407"/>
      <c r="G442" s="527"/>
      <c r="H442" s="528"/>
      <c r="I442" s="371"/>
      <c r="J442" s="513"/>
      <c r="K442" s="514"/>
      <c r="L442" s="514"/>
      <c r="M442" s="515"/>
      <c r="P442" s="510"/>
      <c r="Q442" s="511"/>
      <c r="R442" s="444"/>
      <c r="S442" s="416"/>
      <c r="T442" s="417"/>
      <c r="U442" s="420"/>
      <c r="V442" s="420"/>
      <c r="W442" s="421"/>
      <c r="X442" s="375"/>
      <c r="Y442" s="376"/>
    </row>
    <row r="443" spans="2:25" ht="15" outlineLevel="1">
      <c r="B443" s="512">
        <v>103</v>
      </c>
      <c r="C443" s="442"/>
      <c r="D443" s="404"/>
      <c r="E443" s="405"/>
      <c r="F443" s="407"/>
      <c r="G443" s="527"/>
      <c r="H443" s="528"/>
      <c r="I443" s="371"/>
      <c r="J443" s="513"/>
      <c r="K443" s="514"/>
      <c r="L443" s="514"/>
      <c r="M443" s="515"/>
      <c r="P443" s="510"/>
      <c r="Q443" s="511"/>
      <c r="R443" s="444"/>
      <c r="S443" s="416"/>
      <c r="T443" s="417"/>
      <c r="U443" s="420"/>
      <c r="V443" s="420"/>
      <c r="W443" s="421"/>
      <c r="X443" s="375"/>
      <c r="Y443" s="376"/>
    </row>
    <row r="444" spans="2:25" ht="15" outlineLevel="1">
      <c r="B444" s="512">
        <v>104</v>
      </c>
      <c r="C444" s="442"/>
      <c r="D444" s="404"/>
      <c r="E444" s="405"/>
      <c r="F444" s="407"/>
      <c r="G444" s="527"/>
      <c r="H444" s="528"/>
      <c r="I444" s="371"/>
      <c r="J444" s="513"/>
      <c r="K444" s="514"/>
      <c r="L444" s="514"/>
      <c r="M444" s="515"/>
      <c r="P444" s="510"/>
      <c r="Q444" s="511"/>
      <c r="R444" s="415"/>
      <c r="S444" s="416"/>
      <c r="T444" s="417"/>
      <c r="U444" s="420"/>
      <c r="V444" s="420"/>
      <c r="W444" s="421"/>
      <c r="X444" s="375"/>
      <c r="Y444" s="376"/>
    </row>
    <row r="445" spans="2:25" ht="15" outlineLevel="1">
      <c r="B445" s="512">
        <v>105</v>
      </c>
      <c r="C445" s="442"/>
      <c r="D445" s="404"/>
      <c r="E445" s="405"/>
      <c r="F445" s="407"/>
      <c r="G445" s="527"/>
      <c r="H445" s="528"/>
      <c r="I445" s="371"/>
      <c r="J445" s="513"/>
      <c r="K445" s="514"/>
      <c r="L445" s="514"/>
      <c r="M445" s="515"/>
      <c r="P445" s="510"/>
      <c r="Q445" s="511"/>
      <c r="R445" s="415"/>
      <c r="S445" s="416"/>
      <c r="T445" s="417"/>
      <c r="U445" s="420"/>
      <c r="V445" s="420"/>
      <c r="W445" s="421"/>
      <c r="X445" s="375"/>
      <c r="Y445" s="376"/>
    </row>
    <row r="446" spans="2:25" ht="15" outlineLevel="1">
      <c r="B446" s="512">
        <v>106</v>
      </c>
      <c r="C446" s="442"/>
      <c r="D446" s="404"/>
      <c r="E446" s="405"/>
      <c r="F446" s="407"/>
      <c r="G446" s="527"/>
      <c r="H446" s="528"/>
      <c r="I446" s="371"/>
      <c r="J446" s="513"/>
      <c r="K446" s="514"/>
      <c r="L446" s="514"/>
      <c r="M446" s="515"/>
      <c r="P446" s="510"/>
      <c r="Q446" s="511"/>
      <c r="R446" s="415"/>
      <c r="S446" s="416"/>
      <c r="T446" s="417"/>
      <c r="U446" s="420"/>
      <c r="V446" s="420"/>
      <c r="W446" s="421"/>
      <c r="X446" s="375"/>
      <c r="Y446" s="376"/>
    </row>
    <row r="447" spans="2:25" ht="15" outlineLevel="1">
      <c r="B447" s="512">
        <v>107</v>
      </c>
      <c r="C447" s="442"/>
      <c r="D447" s="404"/>
      <c r="E447" s="405"/>
      <c r="F447" s="407"/>
      <c r="G447" s="527"/>
      <c r="H447" s="528"/>
      <c r="I447" s="371"/>
      <c r="J447" s="513"/>
      <c r="K447" s="514"/>
      <c r="L447" s="514"/>
      <c r="M447" s="515"/>
      <c r="P447" s="510"/>
      <c r="Q447" s="511"/>
      <c r="R447" s="415"/>
      <c r="S447" s="416"/>
      <c r="T447" s="417"/>
      <c r="U447" s="420"/>
      <c r="V447" s="420"/>
      <c r="W447" s="421"/>
      <c r="X447" s="375"/>
      <c r="Y447" s="376"/>
    </row>
    <row r="448" spans="2:25" ht="15" outlineLevel="1">
      <c r="B448" s="512">
        <v>108</v>
      </c>
      <c r="C448" s="442"/>
      <c r="D448" s="404"/>
      <c r="E448" s="405"/>
      <c r="F448" s="407"/>
      <c r="G448" s="527"/>
      <c r="H448" s="528"/>
      <c r="I448" s="371"/>
      <c r="J448" s="513"/>
      <c r="K448" s="514"/>
      <c r="L448" s="514"/>
      <c r="M448" s="515"/>
      <c r="P448" s="510"/>
      <c r="Q448" s="511"/>
      <c r="R448" s="415"/>
      <c r="S448" s="416"/>
      <c r="T448" s="417"/>
      <c r="U448" s="420"/>
      <c r="V448" s="420"/>
      <c r="W448" s="421"/>
      <c r="X448" s="375"/>
      <c r="Y448" s="376"/>
    </row>
    <row r="449" spans="2:25" ht="15" outlineLevel="1">
      <c r="B449" s="512">
        <v>109</v>
      </c>
      <c r="C449" s="442"/>
      <c r="D449" s="404"/>
      <c r="E449" s="405"/>
      <c r="F449" s="407"/>
      <c r="G449" s="527"/>
      <c r="H449" s="528"/>
      <c r="I449" s="371"/>
      <c r="J449" s="513"/>
      <c r="K449" s="514"/>
      <c r="L449" s="514"/>
      <c r="M449" s="515"/>
      <c r="P449" s="510"/>
      <c r="Q449" s="511"/>
      <c r="R449" s="415"/>
      <c r="S449" s="416"/>
      <c r="T449" s="417"/>
      <c r="U449" s="420"/>
      <c r="V449" s="420"/>
      <c r="W449" s="421"/>
      <c r="X449" s="375"/>
      <c r="Y449" s="376"/>
    </row>
    <row r="450" spans="2:25" ht="15" outlineLevel="1">
      <c r="B450" s="512">
        <v>110</v>
      </c>
      <c r="C450" s="442"/>
      <c r="D450" s="404"/>
      <c r="E450" s="405"/>
      <c r="F450" s="407"/>
      <c r="G450" s="527"/>
      <c r="H450" s="528"/>
      <c r="I450" s="371"/>
      <c r="J450" s="513"/>
      <c r="K450" s="514"/>
      <c r="L450" s="514"/>
      <c r="M450" s="515"/>
      <c r="P450" s="510"/>
      <c r="Q450" s="511"/>
      <c r="R450" s="415"/>
      <c r="S450" s="416"/>
      <c r="T450" s="417"/>
      <c r="U450" s="420"/>
      <c r="V450" s="420"/>
      <c r="W450" s="421"/>
      <c r="X450" s="375"/>
      <c r="Y450" s="376"/>
    </row>
    <row r="451" spans="2:25" ht="15" outlineLevel="1">
      <c r="B451" s="512">
        <v>111</v>
      </c>
      <c r="C451" s="442"/>
      <c r="D451" s="404"/>
      <c r="E451" s="405"/>
      <c r="F451" s="407"/>
      <c r="G451" s="527"/>
      <c r="H451" s="528"/>
      <c r="I451" s="371"/>
      <c r="J451" s="513"/>
      <c r="K451" s="514"/>
      <c r="L451" s="514"/>
      <c r="M451" s="515"/>
      <c r="P451" s="510"/>
      <c r="Q451" s="511"/>
      <c r="R451" s="415"/>
      <c r="S451" s="416"/>
      <c r="T451" s="417"/>
      <c r="U451" s="420"/>
      <c r="V451" s="420"/>
      <c r="W451" s="421"/>
      <c r="X451" s="375"/>
      <c r="Y451" s="376"/>
    </row>
    <row r="452" spans="2:25" ht="15" outlineLevel="1">
      <c r="B452" s="512">
        <v>112</v>
      </c>
      <c r="C452" s="442"/>
      <c r="D452" s="404"/>
      <c r="E452" s="405"/>
      <c r="F452" s="407"/>
      <c r="G452" s="527"/>
      <c r="H452" s="528"/>
      <c r="I452" s="371"/>
      <c r="J452" s="513"/>
      <c r="K452" s="514"/>
      <c r="L452" s="514"/>
      <c r="M452" s="515"/>
      <c r="P452" s="510"/>
      <c r="Q452" s="511"/>
      <c r="R452" s="415"/>
      <c r="S452" s="416"/>
      <c r="T452" s="417"/>
      <c r="U452" s="420"/>
      <c r="V452" s="420"/>
      <c r="W452" s="421"/>
      <c r="X452" s="375"/>
      <c r="Y452" s="376"/>
    </row>
    <row r="453" spans="2:25" ht="15" outlineLevel="1">
      <c r="B453" s="512">
        <v>113</v>
      </c>
      <c r="C453" s="442"/>
      <c r="D453" s="404"/>
      <c r="E453" s="405"/>
      <c r="F453" s="407"/>
      <c r="G453" s="527"/>
      <c r="H453" s="528"/>
      <c r="I453" s="371"/>
      <c r="J453" s="513"/>
      <c r="K453" s="514"/>
      <c r="L453" s="514"/>
      <c r="M453" s="515"/>
      <c r="P453" s="510"/>
      <c r="Q453" s="511"/>
      <c r="R453" s="415"/>
      <c r="S453" s="416"/>
      <c r="T453" s="417"/>
      <c r="U453" s="420"/>
      <c r="V453" s="420"/>
      <c r="W453" s="421"/>
      <c r="X453" s="375"/>
      <c r="Y453" s="376"/>
    </row>
    <row r="454" spans="2:25" ht="24" customHeight="1" outlineLevel="1">
      <c r="B454" s="512">
        <v>114</v>
      </c>
      <c r="C454" s="442"/>
      <c r="D454" s="404"/>
      <c r="E454" s="405"/>
      <c r="F454" s="407"/>
      <c r="G454" s="527"/>
      <c r="H454" s="528"/>
      <c r="I454" s="371"/>
      <c r="J454" s="513"/>
      <c r="K454" s="514"/>
      <c r="L454" s="514"/>
      <c r="M454" s="515"/>
      <c r="P454" s="510"/>
      <c r="Q454" s="511"/>
      <c r="R454" s="415"/>
      <c r="S454" s="416"/>
      <c r="T454" s="417"/>
      <c r="U454" s="420"/>
      <c r="V454" s="420"/>
      <c r="W454" s="421"/>
      <c r="X454" s="375"/>
      <c r="Y454" s="376"/>
    </row>
    <row r="455" spans="2:25" ht="24" customHeight="1" outlineLevel="1">
      <c r="B455" s="512">
        <v>115</v>
      </c>
      <c r="C455" s="442"/>
      <c r="D455" s="404"/>
      <c r="E455" s="405"/>
      <c r="F455" s="407"/>
      <c r="G455" s="527"/>
      <c r="H455" s="528"/>
      <c r="I455" s="371"/>
      <c r="J455" s="513"/>
      <c r="K455" s="514"/>
      <c r="L455" s="514"/>
      <c r="M455" s="515"/>
      <c r="P455" s="510"/>
      <c r="Q455" s="511"/>
      <c r="R455" s="415"/>
      <c r="S455" s="416"/>
      <c r="T455" s="417"/>
      <c r="U455" s="420"/>
      <c r="V455" s="420"/>
      <c r="W455" s="421"/>
      <c r="X455" s="375"/>
      <c r="Y455" s="376"/>
    </row>
    <row r="456" spans="2:25" ht="24" customHeight="1" outlineLevel="1">
      <c r="B456" s="512">
        <v>116</v>
      </c>
      <c r="C456" s="442"/>
      <c r="D456" s="404"/>
      <c r="E456" s="405"/>
      <c r="F456" s="407"/>
      <c r="G456" s="527"/>
      <c r="H456" s="528"/>
      <c r="I456" s="371"/>
      <c r="J456" s="513"/>
      <c r="K456" s="514"/>
      <c r="L456" s="514"/>
      <c r="M456" s="515"/>
      <c r="P456" s="510"/>
      <c r="Q456" s="511"/>
      <c r="R456" s="415"/>
      <c r="S456" s="416"/>
      <c r="T456" s="417"/>
      <c r="U456" s="420"/>
      <c r="V456" s="420"/>
      <c r="W456" s="421"/>
      <c r="X456" s="375"/>
      <c r="Y456" s="376"/>
    </row>
    <row r="457" spans="2:25" ht="24" customHeight="1" outlineLevel="1">
      <c r="B457" s="512">
        <v>117</v>
      </c>
      <c r="C457" s="442"/>
      <c r="D457" s="404"/>
      <c r="E457" s="405"/>
      <c r="F457" s="407"/>
      <c r="G457" s="527"/>
      <c r="H457" s="528"/>
      <c r="I457" s="371"/>
      <c r="J457" s="513"/>
      <c r="K457" s="514"/>
      <c r="L457" s="514"/>
      <c r="M457" s="515"/>
      <c r="P457" s="510"/>
      <c r="Q457" s="511"/>
      <c r="R457" s="415"/>
      <c r="S457" s="416"/>
      <c r="T457" s="417"/>
      <c r="U457" s="420"/>
      <c r="V457" s="420"/>
      <c r="W457" s="421"/>
      <c r="X457" s="375"/>
      <c r="Y457" s="376"/>
    </row>
    <row r="458" spans="2:25" ht="24" customHeight="1" outlineLevel="1">
      <c r="B458" s="512">
        <v>118</v>
      </c>
      <c r="C458" s="442"/>
      <c r="D458" s="404"/>
      <c r="E458" s="405"/>
      <c r="F458" s="407"/>
      <c r="G458" s="527"/>
      <c r="H458" s="528"/>
      <c r="I458" s="371"/>
      <c r="J458" s="513"/>
      <c r="K458" s="514"/>
      <c r="L458" s="514"/>
      <c r="M458" s="515"/>
      <c r="P458" s="510"/>
      <c r="Q458" s="511"/>
      <c r="R458" s="415"/>
      <c r="S458" s="416"/>
      <c r="T458" s="417"/>
      <c r="U458" s="420"/>
      <c r="V458" s="420"/>
      <c r="W458" s="421"/>
      <c r="X458" s="375"/>
      <c r="Y458" s="376"/>
    </row>
    <row r="459" spans="2:25" ht="24" customHeight="1" outlineLevel="1">
      <c r="B459" s="512">
        <v>119</v>
      </c>
      <c r="C459" s="442"/>
      <c r="D459" s="404"/>
      <c r="E459" s="405"/>
      <c r="F459" s="407"/>
      <c r="G459" s="527"/>
      <c r="H459" s="528"/>
      <c r="I459" s="371"/>
      <c r="J459" s="513"/>
      <c r="K459" s="514"/>
      <c r="L459" s="514"/>
      <c r="M459" s="515"/>
      <c r="P459" s="510"/>
      <c r="Q459" s="511"/>
      <c r="R459" s="415"/>
      <c r="S459" s="416"/>
      <c r="T459" s="417"/>
      <c r="U459" s="420"/>
      <c r="V459" s="420"/>
      <c r="W459" s="421"/>
      <c r="X459" s="375"/>
      <c r="Y459" s="376"/>
    </row>
    <row r="460" spans="2:25" ht="24" customHeight="1" outlineLevel="1">
      <c r="B460" s="512">
        <v>120</v>
      </c>
      <c r="C460" s="442"/>
      <c r="D460" s="404"/>
      <c r="E460" s="405"/>
      <c r="F460" s="407"/>
      <c r="G460" s="527"/>
      <c r="H460" s="528"/>
      <c r="I460" s="371"/>
      <c r="J460" s="513"/>
      <c r="K460" s="514"/>
      <c r="L460" s="514"/>
      <c r="M460" s="515"/>
      <c r="P460" s="510"/>
      <c r="Q460" s="511"/>
      <c r="R460" s="415"/>
      <c r="S460" s="416"/>
      <c r="T460" s="417"/>
      <c r="U460" s="420"/>
      <c r="V460" s="420"/>
      <c r="W460" s="421"/>
      <c r="X460" s="375"/>
      <c r="Y460" s="376"/>
    </row>
    <row r="461" spans="2:25" ht="24" customHeight="1" outlineLevel="1">
      <c r="B461" s="512">
        <v>121</v>
      </c>
      <c r="C461" s="442"/>
      <c r="D461" s="404"/>
      <c r="E461" s="405"/>
      <c r="F461" s="407"/>
      <c r="G461" s="527"/>
      <c r="H461" s="528"/>
      <c r="I461" s="371"/>
      <c r="J461" s="513"/>
      <c r="K461" s="514"/>
      <c r="L461" s="514"/>
      <c r="M461" s="515"/>
      <c r="P461" s="510"/>
      <c r="Q461" s="511"/>
      <c r="R461" s="415"/>
      <c r="S461" s="416"/>
      <c r="T461" s="417"/>
      <c r="U461" s="420"/>
      <c r="V461" s="420"/>
      <c r="W461" s="421"/>
      <c r="X461" s="375"/>
      <c r="Y461" s="376"/>
    </row>
    <row r="462" spans="2:25" ht="24" customHeight="1" outlineLevel="1">
      <c r="B462" s="512">
        <v>122</v>
      </c>
      <c r="C462" s="442"/>
      <c r="D462" s="404"/>
      <c r="E462" s="405"/>
      <c r="F462" s="407"/>
      <c r="G462" s="527"/>
      <c r="H462" s="528"/>
      <c r="I462" s="371"/>
      <c r="J462" s="513"/>
      <c r="K462" s="514"/>
      <c r="L462" s="514"/>
      <c r="M462" s="515"/>
      <c r="P462" s="510"/>
      <c r="Q462" s="511"/>
      <c r="R462" s="415"/>
      <c r="S462" s="416"/>
      <c r="T462" s="417"/>
      <c r="U462" s="420"/>
      <c r="V462" s="420"/>
      <c r="W462" s="421"/>
      <c r="X462" s="375"/>
      <c r="Y462" s="376"/>
    </row>
    <row r="463" spans="2:25" ht="24" customHeight="1" outlineLevel="1">
      <c r="B463" s="512">
        <v>123</v>
      </c>
      <c r="C463" s="442"/>
      <c r="D463" s="404"/>
      <c r="E463" s="405"/>
      <c r="F463" s="407"/>
      <c r="G463" s="527"/>
      <c r="H463" s="528"/>
      <c r="I463" s="371"/>
      <c r="J463" s="513"/>
      <c r="K463" s="514"/>
      <c r="L463" s="514"/>
      <c r="M463" s="515"/>
      <c r="P463" s="510"/>
      <c r="Q463" s="511"/>
      <c r="R463" s="415"/>
      <c r="S463" s="416"/>
      <c r="T463" s="417"/>
      <c r="U463" s="420"/>
      <c r="V463" s="420"/>
      <c r="W463" s="421"/>
      <c r="X463" s="375"/>
      <c r="Y463" s="376"/>
    </row>
    <row r="464" spans="2:25" ht="24" customHeight="1" outlineLevel="1">
      <c r="B464" s="512">
        <v>124</v>
      </c>
      <c r="C464" s="442"/>
      <c r="D464" s="404"/>
      <c r="E464" s="405"/>
      <c r="F464" s="407"/>
      <c r="G464" s="527"/>
      <c r="H464" s="528"/>
      <c r="I464" s="371"/>
      <c r="J464" s="513"/>
      <c r="K464" s="514"/>
      <c r="L464" s="514"/>
      <c r="M464" s="515"/>
      <c r="P464" s="510"/>
      <c r="Q464" s="511"/>
      <c r="R464" s="415"/>
      <c r="S464" s="416"/>
      <c r="T464" s="417"/>
      <c r="U464" s="420"/>
      <c r="V464" s="420"/>
      <c r="W464" s="421"/>
      <c r="X464" s="375"/>
      <c r="Y464" s="376"/>
    </row>
    <row r="465" spans="2:25" ht="24" customHeight="1" outlineLevel="1">
      <c r="B465" s="512">
        <v>125</v>
      </c>
      <c r="C465" s="442"/>
      <c r="D465" s="404"/>
      <c r="E465" s="405"/>
      <c r="F465" s="407"/>
      <c r="G465" s="527"/>
      <c r="H465" s="528"/>
      <c r="I465" s="371"/>
      <c r="J465" s="513"/>
      <c r="K465" s="514"/>
      <c r="L465" s="514"/>
      <c r="M465" s="515"/>
      <c r="P465" s="510"/>
      <c r="Q465" s="511"/>
      <c r="R465" s="415"/>
      <c r="S465" s="416"/>
      <c r="T465" s="417"/>
      <c r="U465" s="420"/>
      <c r="V465" s="420"/>
      <c r="W465" s="421"/>
      <c r="X465" s="375"/>
      <c r="Y465" s="376"/>
    </row>
    <row r="466" spans="2:25" ht="24" customHeight="1" outlineLevel="1">
      <c r="B466" s="512">
        <v>126</v>
      </c>
      <c r="C466" s="442"/>
      <c r="D466" s="404"/>
      <c r="E466" s="405"/>
      <c r="F466" s="407"/>
      <c r="G466" s="527"/>
      <c r="H466" s="528"/>
      <c r="I466" s="371"/>
      <c r="J466" s="513"/>
      <c r="K466" s="514"/>
      <c r="L466" s="514"/>
      <c r="M466" s="515"/>
      <c r="P466" s="510"/>
      <c r="Q466" s="511"/>
      <c r="R466" s="415"/>
      <c r="S466" s="416"/>
      <c r="T466" s="417"/>
      <c r="U466" s="420"/>
      <c r="V466" s="420"/>
      <c r="W466" s="421"/>
      <c r="X466" s="375"/>
      <c r="Y466" s="376"/>
    </row>
    <row r="467" spans="2:25" ht="24" customHeight="1" outlineLevel="1">
      <c r="B467" s="512">
        <v>127</v>
      </c>
      <c r="C467" s="442"/>
      <c r="D467" s="404"/>
      <c r="E467" s="405"/>
      <c r="F467" s="407"/>
      <c r="G467" s="527"/>
      <c r="H467" s="528"/>
      <c r="I467" s="371"/>
      <c r="J467" s="513"/>
      <c r="K467" s="514"/>
      <c r="L467" s="514"/>
      <c r="M467" s="515"/>
      <c r="P467" s="510"/>
      <c r="Q467" s="511"/>
      <c r="R467" s="415"/>
      <c r="S467" s="416"/>
      <c r="T467" s="417"/>
      <c r="U467" s="420"/>
      <c r="V467" s="420"/>
      <c r="W467" s="421"/>
      <c r="X467" s="375"/>
      <c r="Y467" s="376"/>
    </row>
    <row r="468" spans="2:25" ht="24" customHeight="1" outlineLevel="1">
      <c r="B468" s="512">
        <v>128</v>
      </c>
      <c r="C468" s="442"/>
      <c r="D468" s="404"/>
      <c r="E468" s="405"/>
      <c r="F468" s="407"/>
      <c r="G468" s="527"/>
      <c r="H468" s="528"/>
      <c r="I468" s="371"/>
      <c r="J468" s="513"/>
      <c r="K468" s="514"/>
      <c r="L468" s="514"/>
      <c r="M468" s="515"/>
      <c r="P468" s="510"/>
      <c r="Q468" s="511"/>
      <c r="R468" s="415"/>
      <c r="S468" s="416"/>
      <c r="T468" s="417"/>
      <c r="U468" s="420"/>
      <c r="V468" s="420"/>
      <c r="W468" s="421"/>
      <c r="X468" s="375"/>
      <c r="Y468" s="376"/>
    </row>
    <row r="469" spans="2:25" ht="24" customHeight="1" outlineLevel="1">
      <c r="B469" s="512">
        <v>129</v>
      </c>
      <c r="C469" s="442"/>
      <c r="D469" s="404"/>
      <c r="E469" s="405"/>
      <c r="F469" s="407"/>
      <c r="G469" s="527"/>
      <c r="H469" s="528"/>
      <c r="I469" s="371"/>
      <c r="J469" s="513"/>
      <c r="K469" s="514"/>
      <c r="L469" s="514"/>
      <c r="M469" s="515"/>
      <c r="P469" s="510"/>
      <c r="Q469" s="511"/>
      <c r="R469" s="415"/>
      <c r="S469" s="416"/>
      <c r="T469" s="417"/>
      <c r="U469" s="420"/>
      <c r="V469" s="420"/>
      <c r="W469" s="421"/>
      <c r="X469" s="375"/>
      <c r="Y469" s="376"/>
    </row>
    <row r="470" spans="2:25" ht="24" customHeight="1" outlineLevel="1">
      <c r="B470" s="512">
        <v>130</v>
      </c>
      <c r="C470" s="442"/>
      <c r="D470" s="404"/>
      <c r="E470" s="405"/>
      <c r="F470" s="407"/>
      <c r="G470" s="527"/>
      <c r="H470" s="528"/>
      <c r="I470" s="371"/>
      <c r="J470" s="513"/>
      <c r="K470" s="514"/>
      <c r="L470" s="514"/>
      <c r="M470" s="515"/>
      <c r="P470" s="510"/>
      <c r="Q470" s="511"/>
      <c r="R470" s="415"/>
      <c r="S470" s="416"/>
      <c r="T470" s="417"/>
      <c r="U470" s="420"/>
      <c r="V470" s="420"/>
      <c r="W470" s="421"/>
      <c r="X470" s="375"/>
      <c r="Y470" s="376"/>
    </row>
    <row r="471" spans="2:25" ht="24" customHeight="1" outlineLevel="1">
      <c r="B471" s="512">
        <v>131</v>
      </c>
      <c r="C471" s="442"/>
      <c r="D471" s="404"/>
      <c r="E471" s="405"/>
      <c r="F471" s="407"/>
      <c r="G471" s="527"/>
      <c r="H471" s="528"/>
      <c r="I471" s="371"/>
      <c r="J471" s="513"/>
      <c r="K471" s="514"/>
      <c r="L471" s="514"/>
      <c r="M471" s="515"/>
      <c r="P471" s="510"/>
      <c r="Q471" s="511"/>
      <c r="R471" s="415"/>
      <c r="S471" s="416"/>
      <c r="T471" s="417"/>
      <c r="U471" s="420"/>
      <c r="V471" s="420"/>
      <c r="W471" s="421"/>
      <c r="X471" s="375"/>
      <c r="Y471" s="376"/>
    </row>
    <row r="472" spans="2:25" ht="24" customHeight="1" outlineLevel="1">
      <c r="B472" s="512">
        <v>132</v>
      </c>
      <c r="C472" s="442"/>
      <c r="D472" s="404"/>
      <c r="E472" s="405"/>
      <c r="F472" s="407"/>
      <c r="G472" s="527"/>
      <c r="H472" s="528"/>
      <c r="I472" s="371"/>
      <c r="J472" s="513"/>
      <c r="K472" s="514"/>
      <c r="L472" s="514"/>
      <c r="M472" s="515"/>
      <c r="P472" s="510"/>
      <c r="Q472" s="511"/>
      <c r="R472" s="415"/>
      <c r="S472" s="416"/>
      <c r="T472" s="417"/>
      <c r="U472" s="420"/>
      <c r="V472" s="420"/>
      <c r="W472" s="421"/>
      <c r="X472" s="375"/>
      <c r="Y472" s="376"/>
    </row>
    <row r="473" spans="2:25" ht="24" customHeight="1" outlineLevel="1">
      <c r="B473" s="512">
        <v>133</v>
      </c>
      <c r="C473" s="442"/>
      <c r="D473" s="404"/>
      <c r="E473" s="405"/>
      <c r="F473" s="407"/>
      <c r="G473" s="527"/>
      <c r="H473" s="528"/>
      <c r="I473" s="371"/>
      <c r="J473" s="513"/>
      <c r="K473" s="514"/>
      <c r="L473" s="514"/>
      <c r="M473" s="515"/>
      <c r="P473" s="510"/>
      <c r="Q473" s="511"/>
      <c r="R473" s="415"/>
      <c r="S473" s="416"/>
      <c r="T473" s="417"/>
      <c r="U473" s="420"/>
      <c r="V473" s="420"/>
      <c r="W473" s="421"/>
      <c r="X473" s="375"/>
      <c r="Y473" s="376"/>
    </row>
    <row r="474" spans="2:25" ht="24" customHeight="1" outlineLevel="1">
      <c r="B474" s="512">
        <v>134</v>
      </c>
      <c r="C474" s="442"/>
      <c r="D474" s="404"/>
      <c r="E474" s="405"/>
      <c r="F474" s="407"/>
      <c r="G474" s="527"/>
      <c r="H474" s="528"/>
      <c r="I474" s="371"/>
      <c r="J474" s="513"/>
      <c r="K474" s="514"/>
      <c r="L474" s="514"/>
      <c r="M474" s="515"/>
      <c r="P474" s="510"/>
      <c r="Q474" s="511"/>
      <c r="R474" s="415"/>
      <c r="S474" s="416"/>
      <c r="T474" s="417"/>
      <c r="U474" s="420"/>
      <c r="V474" s="420"/>
      <c r="W474" s="421"/>
      <c r="X474" s="375"/>
      <c r="Y474" s="376"/>
    </row>
    <row r="475" spans="2:25" ht="24" customHeight="1" outlineLevel="1">
      <c r="B475" s="512">
        <v>135</v>
      </c>
      <c r="C475" s="442"/>
      <c r="D475" s="404"/>
      <c r="E475" s="405"/>
      <c r="F475" s="407"/>
      <c r="G475" s="527"/>
      <c r="H475" s="528"/>
      <c r="I475" s="371"/>
      <c r="J475" s="513"/>
      <c r="K475" s="514"/>
      <c r="L475" s="514"/>
      <c r="M475" s="515"/>
      <c r="P475" s="510"/>
      <c r="Q475" s="511"/>
      <c r="R475" s="415"/>
      <c r="S475" s="416"/>
      <c r="T475" s="417"/>
      <c r="U475" s="420"/>
      <c r="V475" s="420"/>
      <c r="W475" s="421"/>
      <c r="X475" s="375"/>
      <c r="Y475" s="376"/>
    </row>
    <row r="476" spans="2:25" ht="24" customHeight="1" outlineLevel="1">
      <c r="B476" s="512">
        <v>136</v>
      </c>
      <c r="C476" s="442"/>
      <c r="D476" s="404"/>
      <c r="E476" s="405"/>
      <c r="F476" s="407"/>
      <c r="G476" s="527"/>
      <c r="H476" s="528"/>
      <c r="I476" s="371"/>
      <c r="J476" s="513"/>
      <c r="K476" s="514"/>
      <c r="L476" s="514"/>
      <c r="M476" s="515"/>
      <c r="P476" s="510"/>
      <c r="Q476" s="511"/>
      <c r="R476" s="415"/>
      <c r="S476" s="416"/>
      <c r="T476" s="417"/>
      <c r="U476" s="420"/>
      <c r="V476" s="420"/>
      <c r="W476" s="421"/>
      <c r="X476" s="375"/>
      <c r="Y476" s="376"/>
    </row>
    <row r="477" spans="2:25" ht="24" customHeight="1" outlineLevel="1">
      <c r="B477" s="512">
        <v>137</v>
      </c>
      <c r="C477" s="442"/>
      <c r="D477" s="404"/>
      <c r="E477" s="405"/>
      <c r="F477" s="407"/>
      <c r="G477" s="527"/>
      <c r="H477" s="528"/>
      <c r="I477" s="371"/>
      <c r="J477" s="513"/>
      <c r="K477" s="514"/>
      <c r="L477" s="514"/>
      <c r="M477" s="515"/>
      <c r="P477" s="510"/>
      <c r="Q477" s="511"/>
      <c r="R477" s="415"/>
      <c r="S477" s="416"/>
      <c r="T477" s="417"/>
      <c r="U477" s="420"/>
      <c r="V477" s="420"/>
      <c r="W477" s="421"/>
      <c r="X477" s="375"/>
      <c r="Y477" s="376"/>
    </row>
    <row r="478" spans="2:25" ht="24" customHeight="1" outlineLevel="1">
      <c r="B478" s="512">
        <v>138</v>
      </c>
      <c r="C478" s="442"/>
      <c r="D478" s="404"/>
      <c r="E478" s="405"/>
      <c r="F478" s="407"/>
      <c r="G478" s="527"/>
      <c r="H478" s="528"/>
      <c r="I478" s="371"/>
      <c r="J478" s="513"/>
      <c r="K478" s="514"/>
      <c r="L478" s="514"/>
      <c r="M478" s="515"/>
      <c r="P478" s="510"/>
      <c r="Q478" s="511"/>
      <c r="R478" s="415"/>
      <c r="S478" s="416"/>
      <c r="T478" s="417"/>
      <c r="U478" s="420"/>
      <c r="V478" s="420"/>
      <c r="W478" s="421"/>
      <c r="X478" s="375"/>
      <c r="Y478" s="376"/>
    </row>
    <row r="479" spans="2:25" ht="24" customHeight="1" outlineLevel="1">
      <c r="B479" s="512">
        <v>139</v>
      </c>
      <c r="C479" s="442"/>
      <c r="D479" s="404"/>
      <c r="E479" s="405"/>
      <c r="F479" s="407"/>
      <c r="G479" s="527"/>
      <c r="H479" s="528"/>
      <c r="I479" s="371"/>
      <c r="J479" s="513"/>
      <c r="K479" s="514"/>
      <c r="L479" s="514"/>
      <c r="M479" s="515"/>
      <c r="P479" s="510"/>
      <c r="Q479" s="511"/>
      <c r="R479" s="415"/>
      <c r="S479" s="416"/>
      <c r="T479" s="417"/>
      <c r="U479" s="420"/>
      <c r="V479" s="420"/>
      <c r="W479" s="421"/>
      <c r="X479" s="375"/>
      <c r="Y479" s="376"/>
    </row>
    <row r="480" spans="2:25" ht="24" customHeight="1" outlineLevel="1">
      <c r="B480" s="512">
        <v>140</v>
      </c>
      <c r="C480" s="442"/>
      <c r="D480" s="404"/>
      <c r="E480" s="405"/>
      <c r="F480" s="407"/>
      <c r="G480" s="527"/>
      <c r="H480" s="528"/>
      <c r="I480" s="371"/>
      <c r="J480" s="513"/>
      <c r="K480" s="514"/>
      <c r="L480" s="514"/>
      <c r="M480" s="515"/>
      <c r="P480" s="510"/>
      <c r="Q480" s="511"/>
      <c r="R480" s="415"/>
      <c r="S480" s="416"/>
      <c r="T480" s="417"/>
      <c r="U480" s="420"/>
      <c r="V480" s="420"/>
      <c r="W480" s="421"/>
      <c r="X480" s="375"/>
      <c r="Y480" s="376"/>
    </row>
    <row r="481" spans="2:25" ht="24" customHeight="1" outlineLevel="1">
      <c r="B481" s="512">
        <v>141</v>
      </c>
      <c r="C481" s="442"/>
      <c r="D481" s="404"/>
      <c r="E481" s="405"/>
      <c r="F481" s="407"/>
      <c r="G481" s="527"/>
      <c r="H481" s="528"/>
      <c r="I481" s="371"/>
      <c r="J481" s="513"/>
      <c r="K481" s="514"/>
      <c r="L481" s="514"/>
      <c r="M481" s="515"/>
      <c r="P481" s="510"/>
      <c r="Q481" s="511"/>
      <c r="R481" s="415"/>
      <c r="S481" s="416"/>
      <c r="T481" s="417"/>
      <c r="U481" s="420"/>
      <c r="V481" s="420"/>
      <c r="W481" s="421"/>
      <c r="X481" s="375"/>
      <c r="Y481" s="376"/>
    </row>
    <row r="482" spans="2:25" ht="24" customHeight="1" outlineLevel="1">
      <c r="B482" s="512">
        <v>142</v>
      </c>
      <c r="C482" s="442"/>
      <c r="D482" s="404"/>
      <c r="E482" s="405"/>
      <c r="F482" s="407"/>
      <c r="G482" s="527"/>
      <c r="H482" s="528"/>
      <c r="I482" s="371"/>
      <c r="J482" s="513"/>
      <c r="K482" s="514"/>
      <c r="L482" s="514"/>
      <c r="M482" s="515"/>
      <c r="P482" s="510"/>
      <c r="Q482" s="511"/>
      <c r="R482" s="415"/>
      <c r="S482" s="416"/>
      <c r="T482" s="417"/>
      <c r="U482" s="420"/>
      <c r="V482" s="420"/>
      <c r="W482" s="421"/>
      <c r="X482" s="375"/>
      <c r="Y482" s="376"/>
    </row>
    <row r="483" spans="2:25" ht="24" customHeight="1" outlineLevel="1">
      <c r="B483" s="512">
        <v>143</v>
      </c>
      <c r="C483" s="442"/>
      <c r="D483" s="404"/>
      <c r="E483" s="405"/>
      <c r="F483" s="407"/>
      <c r="G483" s="527"/>
      <c r="H483" s="528"/>
      <c r="I483" s="371"/>
      <c r="J483" s="513"/>
      <c r="K483" s="514"/>
      <c r="L483" s="514"/>
      <c r="M483" s="515"/>
      <c r="P483" s="510"/>
      <c r="Q483" s="511"/>
      <c r="R483" s="415"/>
      <c r="S483" s="416"/>
      <c r="T483" s="417"/>
      <c r="U483" s="420"/>
      <c r="V483" s="420"/>
      <c r="W483" s="421"/>
      <c r="X483" s="375"/>
      <c r="Y483" s="376"/>
    </row>
    <row r="484" spans="2:25" ht="24" customHeight="1" outlineLevel="1">
      <c r="B484" s="512">
        <v>144</v>
      </c>
      <c r="C484" s="442"/>
      <c r="D484" s="404"/>
      <c r="E484" s="405"/>
      <c r="F484" s="407"/>
      <c r="G484" s="527"/>
      <c r="H484" s="528"/>
      <c r="I484" s="371"/>
      <c r="J484" s="513"/>
      <c r="K484" s="514"/>
      <c r="L484" s="514"/>
      <c r="M484" s="515"/>
      <c r="P484" s="510"/>
      <c r="Q484" s="511"/>
      <c r="R484" s="415"/>
      <c r="S484" s="416"/>
      <c r="T484" s="417"/>
      <c r="U484" s="420"/>
      <c r="V484" s="420"/>
      <c r="W484" s="421"/>
      <c r="X484" s="375"/>
      <c r="Y484" s="376"/>
    </row>
    <row r="485" spans="2:25" ht="24" customHeight="1" outlineLevel="1">
      <c r="B485" s="512">
        <v>145</v>
      </c>
      <c r="C485" s="442"/>
      <c r="D485" s="404"/>
      <c r="E485" s="405"/>
      <c r="F485" s="407"/>
      <c r="G485" s="527"/>
      <c r="H485" s="528"/>
      <c r="I485" s="382"/>
      <c r="J485" s="516"/>
      <c r="K485" s="517"/>
      <c r="L485" s="517"/>
      <c r="M485" s="518"/>
      <c r="N485" s="383"/>
      <c r="P485" s="510"/>
      <c r="Q485" s="511"/>
      <c r="R485" s="424"/>
      <c r="S485" s="425"/>
      <c r="T485" s="426"/>
      <c r="U485" s="427"/>
      <c r="V485" s="427"/>
      <c r="W485" s="428"/>
      <c r="X485" s="375"/>
      <c r="Y485" s="376"/>
    </row>
    <row r="486" spans="2:25" ht="24" customHeight="1">
      <c r="B486" s="371"/>
      <c r="C486" s="377"/>
      <c r="D486" s="378"/>
      <c r="E486" s="379"/>
      <c r="F486" s="379"/>
      <c r="G486" s="380"/>
      <c r="H486" s="381"/>
      <c r="I486" s="382"/>
      <c r="J486" s="372"/>
      <c r="K486" s="373"/>
      <c r="L486" s="389"/>
      <c r="M486" s="371"/>
      <c r="N486" s="519"/>
      <c r="R486" s="483"/>
      <c r="S486" s="483"/>
      <c r="T486" s="520"/>
      <c r="U486" s="521"/>
      <c r="V486" s="522"/>
      <c r="X486" s="375"/>
      <c r="Y486" s="376"/>
    </row>
    <row r="487" spans="2:25" ht="29.25" customHeight="1">
      <c r="B487" s="371"/>
      <c r="C487" s="377"/>
      <c r="D487" s="378"/>
      <c r="E487" s="379"/>
      <c r="F487" s="379"/>
      <c r="G487" s="380"/>
      <c r="H487" s="381"/>
      <c r="I487" s="382"/>
      <c r="J487" s="372"/>
      <c r="K487" s="373"/>
      <c r="L487" s="389"/>
      <c r="M487" s="371"/>
      <c r="N487" s="519"/>
      <c r="R487" s="483"/>
      <c r="S487" s="483"/>
      <c r="T487" s="520"/>
      <c r="U487" s="521"/>
      <c r="V487" s="522"/>
      <c r="X487" s="375"/>
      <c r="Y487" s="376"/>
    </row>
    <row r="488" spans="2:25" ht="29.25" customHeight="1">
      <c r="B488" s="371"/>
      <c r="C488" s="377"/>
      <c r="D488" s="378"/>
      <c r="E488" s="379"/>
      <c r="F488" s="379"/>
      <c r="G488" s="380"/>
      <c r="H488" s="381"/>
      <c r="I488" s="382"/>
      <c r="J488" s="372"/>
      <c r="K488" s="373"/>
      <c r="L488" s="389"/>
      <c r="M488" s="371"/>
      <c r="N488" s="519"/>
      <c r="R488" s="483"/>
      <c r="S488" s="483"/>
      <c r="T488" s="520"/>
      <c r="U488" s="521"/>
      <c r="V488" s="522"/>
      <c r="X488" s="375"/>
      <c r="Y488" s="376"/>
    </row>
    <row r="489" spans="2:25" ht="15">
      <c r="B489" s="371"/>
      <c r="J489" s="372"/>
      <c r="K489" s="373"/>
      <c r="L489" s="389"/>
      <c r="M489" s="371"/>
      <c r="N489" s="519"/>
      <c r="R489" s="483"/>
      <c r="S489" s="483"/>
      <c r="T489" s="520"/>
      <c r="U489" s="521"/>
      <c r="V489" s="522"/>
    </row>
    <row r="490" spans="2:25" ht="15">
      <c r="B490" s="371"/>
      <c r="J490" s="372"/>
      <c r="K490" s="373"/>
      <c r="L490" s="389"/>
      <c r="M490" s="371"/>
      <c r="N490" s="519"/>
      <c r="R490" s="483"/>
      <c r="S490" s="483"/>
      <c r="T490" s="520"/>
      <c r="U490" s="521"/>
      <c r="V490" s="522"/>
    </row>
    <row r="491" spans="2:25" ht="15">
      <c r="B491" s="371"/>
      <c r="J491" s="372"/>
      <c r="K491" s="373"/>
      <c r="L491" s="389"/>
      <c r="M491" s="371"/>
      <c r="N491" s="519"/>
      <c r="R491" s="483"/>
      <c r="S491" s="483"/>
      <c r="T491" s="520"/>
      <c r="U491" s="521"/>
      <c r="V491" s="522"/>
    </row>
    <row r="492" spans="2:25" ht="15">
      <c r="B492" s="371"/>
      <c r="J492" s="372"/>
      <c r="K492" s="373"/>
      <c r="L492" s="389"/>
      <c r="M492" s="371"/>
      <c r="N492" s="519"/>
      <c r="R492" s="483"/>
      <c r="S492" s="483"/>
      <c r="T492" s="520"/>
      <c r="U492" s="521"/>
      <c r="V492" s="522"/>
    </row>
    <row r="493" spans="2:25" ht="15">
      <c r="B493" s="371"/>
      <c r="J493" s="372"/>
      <c r="K493" s="373"/>
      <c r="L493" s="389"/>
      <c r="M493" s="371"/>
      <c r="N493" s="519"/>
      <c r="R493" s="483"/>
      <c r="S493" s="483"/>
      <c r="T493" s="520"/>
      <c r="U493" s="521"/>
      <c r="V493" s="522"/>
    </row>
    <row r="494" spans="2:25" ht="15">
      <c r="B494" s="371"/>
      <c r="J494" s="390"/>
      <c r="K494" s="391"/>
      <c r="L494" s="392"/>
      <c r="M494" s="371"/>
      <c r="N494" s="519"/>
      <c r="R494" s="483"/>
      <c r="S494" s="483"/>
      <c r="T494" s="520"/>
      <c r="U494" s="521"/>
      <c r="V494" s="522"/>
    </row>
    <row r="495" spans="2:25" ht="15">
      <c r="B495" s="371"/>
      <c r="J495" s="390"/>
      <c r="K495" s="391"/>
      <c r="L495" s="392"/>
      <c r="M495" s="371"/>
      <c r="N495" s="483"/>
      <c r="R495" s="483"/>
      <c r="S495" s="483"/>
      <c r="T495" s="520"/>
      <c r="U495" s="521"/>
      <c r="V495" s="522"/>
    </row>
    <row r="496" spans="2:25" ht="15">
      <c r="B496" s="371"/>
      <c r="J496" s="390"/>
      <c r="K496" s="391"/>
      <c r="L496" s="392"/>
      <c r="M496" s="371"/>
      <c r="N496" s="483"/>
      <c r="R496" s="483"/>
      <c r="S496" s="483"/>
      <c r="T496" s="520"/>
      <c r="U496" s="521"/>
      <c r="V496" s="522"/>
    </row>
    <row r="497" spans="2:22" ht="15">
      <c r="B497" s="371"/>
      <c r="J497" s="390"/>
      <c r="K497" s="391"/>
      <c r="L497" s="392"/>
      <c r="M497" s="371"/>
      <c r="N497" s="483"/>
      <c r="R497" s="483"/>
      <c r="S497" s="483"/>
      <c r="T497" s="520"/>
      <c r="U497" s="521"/>
      <c r="V497" s="522"/>
    </row>
    <row r="498" spans="2:22" ht="15">
      <c r="B498" s="371"/>
      <c r="J498" s="390"/>
      <c r="K498" s="391"/>
      <c r="L498" s="392"/>
      <c r="M498" s="371"/>
      <c r="N498" s="483"/>
      <c r="R498" s="483"/>
      <c r="S498" s="483"/>
      <c r="T498" s="520"/>
      <c r="U498" s="521"/>
      <c r="V498" s="522"/>
    </row>
    <row r="499" spans="2:22" ht="15">
      <c r="B499" s="371"/>
      <c r="J499" s="390"/>
      <c r="K499" s="391"/>
      <c r="L499" s="392"/>
      <c r="M499" s="371"/>
      <c r="N499" s="483"/>
      <c r="R499" s="483"/>
      <c r="S499" s="483"/>
      <c r="T499" s="520"/>
      <c r="U499" s="521"/>
      <c r="V499" s="522"/>
    </row>
    <row r="500" spans="2:22" ht="15">
      <c r="B500" s="371"/>
      <c r="J500" s="390"/>
      <c r="K500" s="391"/>
      <c r="L500" s="392"/>
      <c r="M500" s="371"/>
      <c r="N500" s="483"/>
      <c r="R500" s="483"/>
      <c r="S500" s="483"/>
      <c r="T500" s="520"/>
      <c r="U500" s="521"/>
      <c r="V500" s="522"/>
    </row>
    <row r="501" spans="2:22" ht="15">
      <c r="B501" s="371"/>
      <c r="J501" s="390"/>
      <c r="K501" s="391"/>
      <c r="L501" s="392"/>
      <c r="M501" s="371"/>
      <c r="N501" s="483"/>
      <c r="R501" s="483"/>
      <c r="S501" s="483"/>
      <c r="T501" s="520"/>
      <c r="U501" s="521"/>
      <c r="V501" s="522"/>
    </row>
    <row r="502" spans="2:22" ht="15">
      <c r="B502" s="371"/>
      <c r="J502" s="390"/>
      <c r="K502" s="391"/>
      <c r="L502" s="392"/>
      <c r="M502" s="371"/>
      <c r="N502" s="483"/>
      <c r="R502" s="483"/>
      <c r="S502" s="483"/>
      <c r="T502" s="520"/>
      <c r="U502" s="521"/>
      <c r="V502" s="522"/>
    </row>
    <row r="503" spans="2:22" ht="15">
      <c r="B503" s="371"/>
      <c r="J503" s="390"/>
      <c r="K503" s="391"/>
      <c r="L503" s="392"/>
      <c r="M503" s="371"/>
      <c r="N503" s="483"/>
      <c r="R503" s="483"/>
      <c r="S503" s="483"/>
      <c r="T503" s="520"/>
      <c r="U503" s="521"/>
      <c r="V503" s="522"/>
    </row>
    <row r="504" spans="2:22" ht="15">
      <c r="B504" s="371"/>
      <c r="J504" s="390"/>
      <c r="K504" s="391"/>
      <c r="L504" s="392"/>
      <c r="M504" s="371"/>
      <c r="N504" s="483"/>
      <c r="R504" s="483"/>
      <c r="S504" s="483"/>
      <c r="T504" s="520"/>
      <c r="U504" s="521"/>
      <c r="V504" s="522"/>
    </row>
    <row r="505" spans="2:22" ht="15">
      <c r="B505" s="371"/>
      <c r="J505" s="390"/>
      <c r="K505" s="391"/>
      <c r="L505" s="392"/>
      <c r="M505" s="371"/>
      <c r="N505" s="483"/>
      <c r="R505" s="483"/>
      <c r="S505" s="483"/>
      <c r="T505" s="520"/>
      <c r="U505" s="521"/>
      <c r="V505" s="522"/>
    </row>
    <row r="506" spans="2:22" ht="15">
      <c r="B506" s="371"/>
      <c r="J506" s="390"/>
      <c r="K506" s="391"/>
      <c r="L506" s="392"/>
      <c r="M506" s="371"/>
      <c r="N506" s="483"/>
      <c r="R506" s="483"/>
      <c r="S506" s="483"/>
      <c r="T506" s="520"/>
      <c r="U506" s="521"/>
      <c r="V506" s="522"/>
    </row>
    <row r="507" spans="2:22" ht="15">
      <c r="B507" s="371"/>
      <c r="J507" s="390"/>
      <c r="K507" s="391"/>
      <c r="L507" s="392"/>
      <c r="M507" s="371"/>
      <c r="N507" s="483"/>
      <c r="R507" s="483"/>
      <c r="S507" s="483"/>
      <c r="T507" s="520"/>
      <c r="U507" s="521"/>
      <c r="V507" s="522"/>
    </row>
    <row r="508" spans="2:22" ht="15">
      <c r="B508" s="371"/>
      <c r="J508" s="390"/>
      <c r="K508" s="391"/>
      <c r="L508" s="392"/>
      <c r="M508" s="371"/>
      <c r="N508" s="483"/>
      <c r="R508" s="483"/>
      <c r="S508" s="483"/>
      <c r="T508" s="520"/>
      <c r="U508" s="521"/>
      <c r="V508" s="522"/>
    </row>
    <row r="509" spans="2:22" ht="15">
      <c r="B509" s="371"/>
      <c r="J509" s="390"/>
      <c r="K509" s="391"/>
      <c r="L509" s="392"/>
      <c r="M509" s="371"/>
      <c r="N509" s="483"/>
      <c r="R509" s="483"/>
      <c r="S509" s="483"/>
      <c r="T509" s="520"/>
      <c r="U509" s="521"/>
      <c r="V509" s="522"/>
    </row>
    <row r="510" spans="2:22" ht="15">
      <c r="B510" s="371"/>
      <c r="J510" s="390"/>
      <c r="K510" s="391"/>
      <c r="L510" s="392"/>
      <c r="M510" s="371"/>
      <c r="N510" s="483"/>
      <c r="R510" s="483"/>
      <c r="S510" s="483"/>
      <c r="T510" s="520"/>
      <c r="U510" s="521"/>
      <c r="V510" s="522"/>
    </row>
    <row r="511" spans="2:22" ht="15">
      <c r="B511" s="371"/>
      <c r="J511" s="390"/>
      <c r="K511" s="391"/>
      <c r="L511" s="392"/>
      <c r="M511" s="371"/>
      <c r="N511" s="483"/>
      <c r="R511" s="483"/>
      <c r="S511" s="483"/>
      <c r="T511" s="520"/>
      <c r="U511" s="521"/>
      <c r="V511" s="522"/>
    </row>
    <row r="512" spans="2:22" ht="15">
      <c r="B512" s="371"/>
      <c r="J512" s="390"/>
      <c r="K512" s="391"/>
      <c r="L512" s="392"/>
      <c r="M512" s="371"/>
      <c r="N512" s="483"/>
      <c r="R512" s="483"/>
      <c r="S512" s="483"/>
      <c r="T512" s="520"/>
      <c r="U512" s="521"/>
      <c r="V512" s="522"/>
    </row>
    <row r="513" spans="2:22" ht="15">
      <c r="B513" s="371"/>
      <c r="J513" s="390"/>
      <c r="K513" s="391"/>
      <c r="L513" s="392"/>
      <c r="M513" s="371"/>
      <c r="N513" s="483"/>
      <c r="R513" s="483"/>
      <c r="S513" s="483"/>
      <c r="T513" s="520"/>
      <c r="U513" s="521"/>
      <c r="V513" s="522"/>
    </row>
    <row r="514" spans="2:22" ht="15">
      <c r="B514" s="371"/>
      <c r="J514" s="390"/>
      <c r="K514" s="391"/>
      <c r="L514" s="392"/>
      <c r="M514" s="371"/>
      <c r="N514" s="483"/>
      <c r="R514" s="483"/>
      <c r="S514" s="483"/>
      <c r="T514" s="520"/>
      <c r="U514" s="521"/>
      <c r="V514" s="522"/>
    </row>
    <row r="515" spans="2:22" ht="15">
      <c r="B515" s="371"/>
      <c r="J515" s="390"/>
      <c r="K515" s="391"/>
      <c r="L515" s="392"/>
      <c r="M515" s="371"/>
      <c r="N515" s="483"/>
      <c r="R515" s="483"/>
      <c r="S515" s="483"/>
      <c r="T515" s="520"/>
      <c r="U515" s="521"/>
      <c r="V515" s="522"/>
    </row>
    <row r="516" spans="2:22" ht="15">
      <c r="B516" s="371"/>
      <c r="J516" s="390"/>
      <c r="K516" s="391"/>
      <c r="L516" s="392"/>
      <c r="M516" s="371"/>
      <c r="N516" s="483"/>
      <c r="R516" s="483"/>
      <c r="S516" s="483"/>
      <c r="T516" s="520"/>
      <c r="U516" s="521"/>
      <c r="V516" s="522"/>
    </row>
    <row r="517" spans="2:22" ht="15">
      <c r="B517" s="371"/>
      <c r="J517" s="390"/>
      <c r="K517" s="391"/>
      <c r="L517" s="392"/>
      <c r="M517" s="371"/>
      <c r="N517" s="483"/>
      <c r="R517" s="483"/>
      <c r="S517" s="483"/>
      <c r="T517" s="520"/>
      <c r="U517" s="521"/>
      <c r="V517" s="522"/>
    </row>
    <row r="518" spans="2:22" ht="15">
      <c r="B518" s="371"/>
      <c r="J518" s="390"/>
      <c r="K518" s="391"/>
      <c r="L518" s="392"/>
      <c r="M518" s="371"/>
      <c r="N518" s="483"/>
      <c r="R518" s="483"/>
      <c r="S518" s="483"/>
      <c r="T518" s="520"/>
      <c r="U518" s="521"/>
      <c r="V518" s="522"/>
    </row>
    <row r="519" spans="2:22" ht="15">
      <c r="B519" s="371"/>
      <c r="J519" s="390"/>
      <c r="K519" s="391"/>
      <c r="L519" s="392"/>
      <c r="M519" s="371"/>
      <c r="N519" s="483"/>
      <c r="R519" s="483"/>
      <c r="S519" s="483"/>
      <c r="T519" s="520"/>
      <c r="U519" s="521"/>
      <c r="V519" s="522"/>
    </row>
    <row r="520" spans="2:22" ht="15">
      <c r="B520" s="371"/>
      <c r="J520" s="390"/>
      <c r="K520" s="391"/>
      <c r="L520" s="392"/>
      <c r="M520" s="371"/>
      <c r="N520" s="483"/>
      <c r="R520" s="483"/>
      <c r="S520" s="483"/>
      <c r="T520" s="520"/>
      <c r="U520" s="521"/>
      <c r="V520" s="522"/>
    </row>
    <row r="521" spans="2:22" ht="15">
      <c r="B521" s="371"/>
      <c r="J521" s="390"/>
      <c r="K521" s="391"/>
      <c r="L521" s="392"/>
      <c r="M521" s="371"/>
      <c r="N521" s="483"/>
      <c r="R521" s="483"/>
      <c r="S521" s="483"/>
      <c r="T521" s="520"/>
      <c r="U521" s="521"/>
      <c r="V521" s="522"/>
    </row>
    <row r="522" spans="2:22" ht="15">
      <c r="B522" s="371"/>
      <c r="J522" s="390"/>
      <c r="K522" s="391"/>
      <c r="L522" s="392"/>
      <c r="M522" s="371"/>
      <c r="N522" s="483"/>
      <c r="R522" s="483"/>
      <c r="S522" s="483"/>
      <c r="T522" s="520"/>
      <c r="U522" s="521"/>
      <c r="V522" s="522"/>
    </row>
    <row r="523" spans="2:22" ht="15">
      <c r="B523" s="371"/>
      <c r="J523" s="390"/>
      <c r="K523" s="391"/>
      <c r="L523" s="392"/>
      <c r="M523" s="371"/>
      <c r="N523" s="483"/>
      <c r="R523" s="483"/>
      <c r="S523" s="483"/>
      <c r="T523" s="520"/>
      <c r="U523" s="521"/>
      <c r="V523" s="522"/>
    </row>
    <row r="524" spans="2:22" ht="15">
      <c r="B524" s="371"/>
      <c r="J524" s="519"/>
      <c r="K524" s="519"/>
      <c r="L524" s="523"/>
      <c r="M524" s="519"/>
      <c r="N524" s="483"/>
      <c r="R524" s="483"/>
      <c r="S524" s="483"/>
      <c r="T524" s="520"/>
      <c r="U524" s="521"/>
      <c r="V524" s="522"/>
    </row>
    <row r="525" spans="2:22" ht="15">
      <c r="B525" s="371"/>
      <c r="J525" s="519"/>
      <c r="K525" s="519"/>
      <c r="L525" s="523"/>
      <c r="M525" s="519"/>
      <c r="N525" s="483"/>
      <c r="R525" s="483"/>
      <c r="S525" s="483"/>
      <c r="T525" s="520"/>
      <c r="U525" s="521"/>
      <c r="V525" s="522"/>
    </row>
    <row r="526" spans="2:22" ht="15">
      <c r="B526" s="371"/>
      <c r="J526" s="519"/>
      <c r="K526" s="519"/>
      <c r="L526" s="523"/>
      <c r="M526" s="519"/>
      <c r="N526" s="483"/>
      <c r="R526" s="483"/>
      <c r="S526" s="483"/>
      <c r="T526" s="520"/>
      <c r="U526" s="521"/>
      <c r="V526" s="522"/>
    </row>
    <row r="527" spans="2:22" ht="15">
      <c r="B527" s="371"/>
      <c r="J527" s="519"/>
      <c r="K527" s="519"/>
      <c r="L527" s="523"/>
      <c r="M527" s="519"/>
      <c r="N527" s="483"/>
      <c r="R527" s="483"/>
      <c r="S527" s="483"/>
      <c r="T527" s="520"/>
      <c r="U527" s="521"/>
      <c r="V527" s="522"/>
    </row>
    <row r="528" spans="2:22" ht="15">
      <c r="B528" s="371"/>
      <c r="J528" s="519"/>
      <c r="K528" s="519"/>
      <c r="L528" s="523"/>
      <c r="M528" s="519"/>
      <c r="N528" s="483"/>
      <c r="R528" s="483"/>
      <c r="S528" s="483"/>
      <c r="T528" s="520"/>
      <c r="U528" s="521"/>
      <c r="V528" s="522"/>
    </row>
    <row r="529" spans="2:22" ht="15">
      <c r="B529" s="371"/>
      <c r="J529" s="519"/>
      <c r="K529" s="519"/>
      <c r="L529" s="523"/>
      <c r="M529" s="519"/>
      <c r="N529" s="483"/>
      <c r="R529" s="483"/>
      <c r="S529" s="483"/>
      <c r="T529" s="520"/>
      <c r="U529" s="521"/>
      <c r="V529" s="522"/>
    </row>
    <row r="530" spans="2:22" ht="15">
      <c r="B530" s="371"/>
      <c r="J530" s="519"/>
      <c r="K530" s="519"/>
      <c r="L530" s="523"/>
      <c r="M530" s="519"/>
      <c r="N530" s="483"/>
      <c r="R530" s="483"/>
      <c r="S530" s="483"/>
      <c r="T530" s="520"/>
      <c r="U530" s="521"/>
      <c r="V530" s="522"/>
    </row>
    <row r="531" spans="2:22" ht="15">
      <c r="B531" s="371"/>
      <c r="J531" s="519"/>
      <c r="K531" s="519"/>
      <c r="L531" s="523"/>
      <c r="M531" s="519"/>
      <c r="N531" s="483"/>
      <c r="R531" s="483"/>
      <c r="S531" s="483"/>
      <c r="T531" s="520"/>
      <c r="U531" s="521"/>
      <c r="V531" s="522"/>
    </row>
    <row r="532" spans="2:22" ht="15">
      <c r="B532" s="371"/>
      <c r="J532" s="519"/>
      <c r="K532" s="519"/>
      <c r="L532" s="523"/>
      <c r="M532" s="519"/>
      <c r="N532" s="483"/>
      <c r="R532" s="483"/>
      <c r="S532" s="483"/>
      <c r="T532" s="520"/>
      <c r="U532" s="521"/>
      <c r="V532" s="522"/>
    </row>
    <row r="533" spans="2:22" ht="15">
      <c r="B533" s="371"/>
      <c r="J533" s="519"/>
      <c r="K533" s="519"/>
      <c r="L533" s="523"/>
      <c r="M533" s="519"/>
      <c r="N533" s="483"/>
      <c r="R533" s="483"/>
      <c r="S533" s="483"/>
      <c r="T533" s="520"/>
      <c r="U533" s="521"/>
      <c r="V533" s="522"/>
    </row>
    <row r="534" spans="2:22" ht="15">
      <c r="B534" s="371"/>
      <c r="J534" s="519"/>
      <c r="K534" s="519"/>
      <c r="L534" s="523"/>
      <c r="M534" s="519"/>
      <c r="N534" s="483"/>
      <c r="R534" s="483"/>
      <c r="S534" s="483"/>
      <c r="T534" s="520"/>
      <c r="U534" s="521"/>
      <c r="V534" s="522"/>
    </row>
    <row r="535" spans="2:22" ht="15">
      <c r="B535" s="371"/>
      <c r="J535" s="519"/>
      <c r="K535" s="519"/>
      <c r="L535" s="523"/>
      <c r="M535" s="519"/>
      <c r="N535" s="483"/>
      <c r="R535" s="483"/>
      <c r="S535" s="483"/>
      <c r="T535" s="520"/>
      <c r="U535" s="521"/>
      <c r="V535" s="522"/>
    </row>
    <row r="536" spans="2:22" ht="15">
      <c r="B536" s="371"/>
      <c r="J536" s="519"/>
      <c r="K536" s="519"/>
      <c r="L536" s="523"/>
      <c r="M536" s="519"/>
      <c r="N536" s="483"/>
      <c r="R536" s="483"/>
      <c r="S536" s="483"/>
      <c r="T536" s="520"/>
      <c r="U536" s="521"/>
      <c r="V536" s="522"/>
    </row>
    <row r="537" spans="2:22" ht="15">
      <c r="B537" s="371"/>
      <c r="J537" s="519"/>
      <c r="K537" s="519"/>
      <c r="L537" s="523"/>
      <c r="M537" s="519"/>
      <c r="N537" s="483"/>
      <c r="R537" s="483"/>
      <c r="S537" s="483"/>
      <c r="T537" s="520"/>
      <c r="U537" s="521"/>
      <c r="V537" s="522"/>
    </row>
    <row r="538" spans="2:22" ht="15">
      <c r="B538" s="371"/>
      <c r="J538" s="519"/>
      <c r="K538" s="519"/>
      <c r="L538" s="523"/>
      <c r="M538" s="519"/>
      <c r="N538" s="483"/>
      <c r="R538" s="483"/>
      <c r="S538" s="483"/>
      <c r="T538" s="520"/>
      <c r="U538" s="521"/>
      <c r="V538" s="522"/>
    </row>
    <row r="539" spans="2:22" ht="15">
      <c r="B539" s="371"/>
      <c r="J539" s="519"/>
      <c r="K539" s="519"/>
      <c r="L539" s="523"/>
      <c r="M539" s="519"/>
      <c r="N539" s="483"/>
      <c r="R539" s="483"/>
      <c r="S539" s="483"/>
      <c r="T539" s="520"/>
      <c r="U539" s="521"/>
      <c r="V539" s="522"/>
    </row>
    <row r="540" spans="2:22" ht="15">
      <c r="B540" s="371"/>
      <c r="J540" s="519"/>
      <c r="K540" s="519"/>
      <c r="L540" s="523"/>
      <c r="M540" s="519"/>
      <c r="N540" s="483"/>
      <c r="R540" s="483"/>
      <c r="S540" s="483"/>
      <c r="T540" s="520"/>
      <c r="U540" s="521"/>
      <c r="V540" s="522"/>
    </row>
    <row r="541" spans="2:22" ht="15">
      <c r="B541" s="371"/>
      <c r="J541" s="519"/>
      <c r="K541" s="519"/>
      <c r="L541" s="523"/>
      <c r="M541" s="519"/>
      <c r="N541" s="483"/>
      <c r="R541" s="483"/>
      <c r="S541" s="483"/>
      <c r="T541" s="520"/>
      <c r="U541" s="521"/>
      <c r="V541" s="522"/>
    </row>
    <row r="542" spans="2:22" ht="15">
      <c r="B542" s="371"/>
      <c r="J542" s="519"/>
      <c r="K542" s="519"/>
      <c r="L542" s="523"/>
      <c r="M542" s="519"/>
      <c r="N542" s="483"/>
      <c r="R542" s="483"/>
      <c r="S542" s="483"/>
      <c r="T542" s="520"/>
      <c r="U542" s="521"/>
      <c r="V542" s="522"/>
    </row>
    <row r="543" spans="2:22" ht="15">
      <c r="B543" s="371"/>
      <c r="J543" s="519"/>
      <c r="K543" s="519"/>
      <c r="L543" s="523"/>
      <c r="M543" s="519"/>
      <c r="N543" s="483"/>
      <c r="R543" s="483"/>
      <c r="S543" s="483"/>
      <c r="T543" s="520"/>
      <c r="U543" s="521"/>
      <c r="V543" s="522"/>
    </row>
    <row r="544" spans="2:22" ht="15">
      <c r="B544" s="371"/>
      <c r="J544" s="519"/>
      <c r="K544" s="519"/>
      <c r="L544" s="523"/>
      <c r="M544" s="519"/>
      <c r="N544" s="483"/>
      <c r="R544" s="483"/>
      <c r="S544" s="483"/>
      <c r="T544" s="520"/>
      <c r="U544" s="521"/>
      <c r="V544" s="522"/>
    </row>
    <row r="545" spans="2:22" ht="15">
      <c r="B545" s="371"/>
      <c r="J545" s="519"/>
      <c r="K545" s="519"/>
      <c r="L545" s="523"/>
      <c r="M545" s="519"/>
      <c r="N545" s="483"/>
      <c r="R545" s="483"/>
      <c r="S545" s="483"/>
      <c r="T545" s="520"/>
      <c r="U545" s="521"/>
      <c r="V545" s="522"/>
    </row>
    <row r="546" spans="2:22" ht="15">
      <c r="B546" s="371"/>
      <c r="J546" s="519"/>
      <c r="K546" s="519"/>
      <c r="L546" s="523"/>
      <c r="M546" s="519"/>
      <c r="N546" s="483"/>
      <c r="R546" s="483"/>
      <c r="S546" s="483"/>
      <c r="T546" s="520"/>
      <c r="U546" s="521"/>
      <c r="V546" s="522"/>
    </row>
    <row r="547" spans="2:22" ht="15">
      <c r="B547" s="371"/>
      <c r="J547" s="519"/>
      <c r="K547" s="519"/>
      <c r="L547" s="523"/>
      <c r="M547" s="519"/>
      <c r="N547" s="483"/>
      <c r="R547" s="483"/>
      <c r="S547" s="483"/>
      <c r="T547" s="520"/>
      <c r="U547" s="521"/>
      <c r="V547" s="522"/>
    </row>
    <row r="548" spans="2:22" ht="15">
      <c r="B548" s="371"/>
      <c r="J548" s="481"/>
      <c r="K548" s="481"/>
      <c r="L548" s="524"/>
    </row>
    <row r="549" spans="2:22" ht="15">
      <c r="B549" s="371"/>
    </row>
    <row r="550" spans="2:22" ht="15">
      <c r="B550" s="371"/>
    </row>
    <row r="551" spans="2:22" ht="15">
      <c r="B551" s="371"/>
    </row>
    <row r="552" spans="2:22" ht="15">
      <c r="B552" s="371"/>
    </row>
    <row r="553" spans="2:22" ht="15">
      <c r="B553" s="371"/>
    </row>
    <row r="554" spans="2:22" ht="15">
      <c r="B554" s="371"/>
    </row>
    <row r="555" spans="2:22" ht="15">
      <c r="B555" s="371"/>
    </row>
    <row r="556" spans="2:22" ht="15">
      <c r="B556" s="371"/>
    </row>
    <row r="557" spans="2:22" ht="15">
      <c r="B557" s="371"/>
    </row>
    <row r="558" spans="2:22" ht="15">
      <c r="B558" s="371"/>
    </row>
    <row r="559" spans="2:22" ht="15">
      <c r="B559" s="371"/>
    </row>
    <row r="560" spans="2:22" ht="15">
      <c r="B560" s="371"/>
    </row>
    <row r="561" spans="2:2" ht="15">
      <c r="B561" s="371"/>
    </row>
    <row r="562" spans="2:2" ht="15">
      <c r="B562" s="371"/>
    </row>
    <row r="563" spans="2:2" ht="15">
      <c r="B563" s="371"/>
    </row>
    <row r="564" spans="2:2" ht="15">
      <c r="B564" s="371"/>
    </row>
    <row r="565" spans="2:2" ht="15">
      <c r="B565" s="371"/>
    </row>
    <row r="566" spans="2:2" ht="15">
      <c r="B566" s="371"/>
    </row>
    <row r="567" spans="2:2" ht="15">
      <c r="B567" s="371"/>
    </row>
    <row r="568" spans="2:2" ht="15">
      <c r="B568" s="371"/>
    </row>
    <row r="569" spans="2:2" ht="15">
      <c r="B569" s="371"/>
    </row>
    <row r="570" spans="2:2" ht="15">
      <c r="B570" s="371"/>
    </row>
    <row r="571" spans="2:2" ht="15">
      <c r="B571" s="371"/>
    </row>
    <row r="572" spans="2:2" ht="15">
      <c r="B572" s="371"/>
    </row>
    <row r="573" spans="2:2" ht="15">
      <c r="B573" s="371"/>
    </row>
    <row r="574" spans="2:2" ht="15">
      <c r="B574" s="371"/>
    </row>
    <row r="575" spans="2:2" ht="15">
      <c r="B575" s="371"/>
    </row>
    <row r="576" spans="2:2" ht="15">
      <c r="B576" s="371"/>
    </row>
    <row r="577" spans="2:2" ht="15">
      <c r="B577" s="371"/>
    </row>
    <row r="578" spans="2:2" ht="15">
      <c r="B578" s="371"/>
    </row>
    <row r="579" spans="2:2" ht="15">
      <c r="B579" s="371"/>
    </row>
    <row r="580" spans="2:2" ht="15">
      <c r="B580" s="371"/>
    </row>
  </sheetData>
  <autoFilter ref="J6:M387" xr:uid="{00000000-0009-0000-0000-000004000000}"/>
  <mergeCells count="13">
    <mergeCell ref="R2:Y4"/>
    <mergeCell ref="B5:M5"/>
    <mergeCell ref="B333:H333"/>
    <mergeCell ref="B2:D3"/>
    <mergeCell ref="B4:D4"/>
    <mergeCell ref="L2:M2"/>
    <mergeCell ref="L3:M3"/>
    <mergeCell ref="E4:H4"/>
    <mergeCell ref="E2:F2"/>
    <mergeCell ref="G2:J2"/>
    <mergeCell ref="E3:F3"/>
    <mergeCell ref="G3:J3"/>
    <mergeCell ref="L4:M4"/>
  </mergeCells>
  <dataValidations xWindow="559" yWindow="544" count="3">
    <dataValidation type="list" allowBlank="1" showInputMessage="1" showErrorMessage="1" prompt="Total de prestações desta despesa." sqref="Y7:Y332 E341 H7:H332" xr:uid="{00000000-0002-0000-0400-000000000000}">
      <formula1>$P$12:$P$31</formula1>
    </dataValidation>
    <dataValidation type="list" allowBlank="1" showInputMessage="1" showErrorMessage="1" prompt="Escolha a prestação do mês!" sqref="X7:X332 D341 G7:G332" xr:uid="{00000000-0002-0000-0400-000001000000}">
      <formula1>$P$12:$P$31</formula1>
    </dataValidation>
    <dataValidation type="list" allowBlank="1" showInputMessage="1" showErrorMessage="1" error="Escolha &quot;s&quot; ou &quot;n&quot;" prompt="É despesa Conta Corrente (&quot;cc&quot;)? Se não, foi parcelada no Cartão?" sqref="W1 W5:W1048576" xr:uid="{00000000-0002-0000-0400-000002000000}">
      <formula1>$P$7:$P$9</formula1>
    </dataValidation>
  </dataValidations>
  <pageMargins left="0.511811023622047" right="0.511811023622047" top="0.78740157480314998" bottom="0.78740157480314998" header="0.31496062992126" footer="0.31496062992126"/>
  <pageSetup paperSize="9" scale="89" pageOrder="overThenDown" orientation="portrait" horizontalDpi="300" verticalDpi="300" r:id="rId1"/>
  <headerFooter>
    <oddFooter>Preparado por Ronaldo &amp;D&amp;RPágina 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xWindow="559" yWindow="544" count="1">
        <x14:dataValidation type="list" allowBlank="1" showInputMessage="1" showErrorMessage="1" prompt="Escolha o Código de acordo com a Despesa!" xr:uid="{00000000-0002-0000-0400-000003000000}">
          <x14:formula1>
            <xm:f>Classificacao!$D$4:$D$55</xm:f>
          </x14:formula1>
          <xm:sqref>V1 V5:V1048576 M7:M214 F7:F36 M335:M387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9"/>
  <dimension ref="B1:AF58"/>
  <sheetViews>
    <sheetView showGridLines="0" zoomScale="110" zoomScaleNormal="110" workbookViewId="0">
      <pane xSplit="6" ySplit="3" topLeftCell="X33" activePane="bottomRight" state="frozen"/>
      <selection pane="topRight" activeCell="H1" sqref="H1"/>
      <selection pane="bottomLeft" activeCell="A12" sqref="A12"/>
      <selection pane="bottomRight" activeCell="F45" sqref="F45"/>
    </sheetView>
  </sheetViews>
  <sheetFormatPr baseColWidth="10" defaultColWidth="8.83203125" defaultRowHeight="13"/>
  <cols>
    <col min="1" max="1" width="5.5" customWidth="1"/>
    <col min="2" max="2" width="5" customWidth="1"/>
    <col min="3" max="3" width="8.83203125" style="75"/>
    <col min="4" max="4" width="8.1640625" style="75" customWidth="1"/>
    <col min="5" max="5" width="30.1640625" customWidth="1"/>
    <col min="6" max="6" width="15.5" customWidth="1"/>
    <col min="7" max="7" width="10.5" style="453" customWidth="1"/>
    <col min="8" max="19" width="10.5" style="80" customWidth="1"/>
    <col min="20" max="32" width="10.5" customWidth="1"/>
  </cols>
  <sheetData>
    <row r="1" spans="2:32" ht="18">
      <c r="C1" s="305" t="s">
        <v>129</v>
      </c>
      <c r="D1" s="306"/>
      <c r="E1" s="307"/>
      <c r="F1" s="307"/>
      <c r="G1" s="445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</row>
    <row r="2" spans="2:32" ht="14" thickBot="1">
      <c r="G2" s="446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251"/>
      <c r="Z2" s="251"/>
      <c r="AA2" s="251"/>
      <c r="AB2" s="251"/>
      <c r="AC2" s="251"/>
      <c r="AD2" s="251"/>
    </row>
    <row r="3" spans="2:32" ht="14" thickBot="1">
      <c r="C3" s="246" t="s">
        <v>32</v>
      </c>
      <c r="D3" s="244" t="s">
        <v>55</v>
      </c>
      <c r="E3" s="244" t="s">
        <v>70</v>
      </c>
      <c r="F3" s="243" t="s">
        <v>34</v>
      </c>
      <c r="G3" s="447" t="s">
        <v>37</v>
      </c>
      <c r="H3" s="242" t="s">
        <v>103</v>
      </c>
      <c r="I3" s="241" t="s">
        <v>38</v>
      </c>
      <c r="J3" s="242" t="s">
        <v>103</v>
      </c>
      <c r="K3" s="241" t="s">
        <v>39</v>
      </c>
      <c r="L3" s="242" t="s">
        <v>103</v>
      </c>
      <c r="M3" s="241" t="s">
        <v>40</v>
      </c>
      <c r="N3" s="242" t="s">
        <v>103</v>
      </c>
      <c r="O3" s="241" t="s">
        <v>41</v>
      </c>
      <c r="P3" s="242" t="s">
        <v>103</v>
      </c>
      <c r="Q3" s="241" t="s">
        <v>42</v>
      </c>
      <c r="R3" s="242" t="s">
        <v>103</v>
      </c>
      <c r="S3" s="241" t="s">
        <v>43</v>
      </c>
      <c r="T3" s="242" t="s">
        <v>103</v>
      </c>
      <c r="U3" s="241" t="s">
        <v>44</v>
      </c>
      <c r="V3" s="242" t="s">
        <v>103</v>
      </c>
      <c r="W3" s="241" t="s">
        <v>45</v>
      </c>
      <c r="X3" s="242" t="s">
        <v>103</v>
      </c>
      <c r="Y3" s="241" t="s">
        <v>46</v>
      </c>
      <c r="Z3" s="242" t="s">
        <v>103</v>
      </c>
      <c r="AA3" s="241" t="s">
        <v>47</v>
      </c>
      <c r="AB3" s="242" t="s">
        <v>103</v>
      </c>
      <c r="AC3" s="241" t="s">
        <v>48</v>
      </c>
      <c r="AD3" s="242" t="s">
        <v>103</v>
      </c>
      <c r="AE3" s="249" t="s">
        <v>174</v>
      </c>
      <c r="AF3" s="242"/>
    </row>
    <row r="4" spans="2:32" s="76" customFormat="1" ht="24.75" customHeight="1">
      <c r="B4" s="632" t="s">
        <v>104</v>
      </c>
      <c r="C4" s="82">
        <v>1</v>
      </c>
      <c r="D4" s="86" t="s">
        <v>71</v>
      </c>
      <c r="E4" s="84" t="s">
        <v>72</v>
      </c>
      <c r="F4" s="83" t="s">
        <v>71</v>
      </c>
      <c r="G4" s="448">
        <f t="shared" ref="G4:G36" ca="1" si="0">somaCodigo(1,D4)</f>
        <v>0</v>
      </c>
      <c r="H4" s="239" t="e">
        <f ca="1">G4/$G$56</f>
        <v>#DIV/0!</v>
      </c>
      <c r="I4" s="88" t="e">
        <f ca="1">somaCodigo(2,D4)</f>
        <v>#VALUE!</v>
      </c>
      <c r="J4" s="537" t="e">
        <f ca="1">I4/$I$56</f>
        <v>#VALUE!</v>
      </c>
      <c r="K4" s="448" t="e">
        <f ca="1">somaCodigo(3,D4)</f>
        <v>#VALUE!</v>
      </c>
      <c r="L4" s="91" t="e">
        <f ca="1">K4/$K$56</f>
        <v>#VALUE!</v>
      </c>
      <c r="M4" s="92" t="e">
        <f ca="1">somaCodigo(4,D4)</f>
        <v>#VALUE!</v>
      </c>
      <c r="N4" s="94" t="e">
        <f ca="1">M4/$M$56</f>
        <v>#VALUE!</v>
      </c>
      <c r="O4" s="448" t="e">
        <f ca="1">somaCodigo(5,D4)</f>
        <v>#VALUE!</v>
      </c>
      <c r="P4" s="91" t="e">
        <f ca="1">O4/$O$56</f>
        <v>#VALUE!</v>
      </c>
      <c r="Q4" s="95" t="e">
        <f ca="1">somaCodigo(6,D4)</f>
        <v>#VALUE!</v>
      </c>
      <c r="R4" s="94" t="e">
        <f ca="1">Q4/$Q$56</f>
        <v>#VALUE!</v>
      </c>
      <c r="S4" s="448" t="e">
        <f ca="1">somaCodigo(7,D4)</f>
        <v>#VALUE!</v>
      </c>
      <c r="T4" s="91" t="e">
        <f ca="1">S4/$S$56</f>
        <v>#VALUE!</v>
      </c>
      <c r="U4" s="95" t="e">
        <f ca="1">somaCodigo(8,D4)</f>
        <v>#VALUE!</v>
      </c>
      <c r="V4" s="96" t="e">
        <f ca="1">U4/$U$56</f>
        <v>#VALUE!</v>
      </c>
      <c r="W4" s="448" t="e">
        <f ca="1">somaCodigo(9,D4)</f>
        <v>#VALUE!</v>
      </c>
      <c r="X4" s="91" t="e">
        <f ca="1">W4/$W$56</f>
        <v>#VALUE!</v>
      </c>
      <c r="Y4" s="95" t="e">
        <f ca="1">somaCodigo(10,D4)</f>
        <v>#VALUE!</v>
      </c>
      <c r="Z4" s="96" t="e">
        <f ca="1">Y4/$Y$56</f>
        <v>#VALUE!</v>
      </c>
      <c r="AA4" s="448" t="e">
        <f ca="1">somaCodigo(12,D4)</f>
        <v>#VALUE!</v>
      </c>
      <c r="AB4" s="91" t="e">
        <f ca="1">AA4/$AA$56</f>
        <v>#VALUE!</v>
      </c>
      <c r="AC4" s="95" t="e">
        <f ca="1">somaCodigo(12,D4)</f>
        <v>#VALUE!</v>
      </c>
      <c r="AD4" s="96" t="e">
        <f ca="1">AC4/$AC$56</f>
        <v>#VALUE!</v>
      </c>
      <c r="AE4" s="448" t="e">
        <f t="shared" ref="AE4:AE55" ca="1" si="1">SUM(G4,I4,K4,M4,O4,Q4,S4,U4,W4,Y4,AA4,AC4)</f>
        <v>#VALUE!</v>
      </c>
      <c r="AF4" s="91" t="e">
        <f ca="1">AE4/SUM($AE$4:$AE$55)</f>
        <v>#VALUE!</v>
      </c>
    </row>
    <row r="5" spans="2:32" s="76" customFormat="1" ht="24.75" customHeight="1">
      <c r="B5" s="633"/>
      <c r="C5" s="85">
        <v>2</v>
      </c>
      <c r="D5" s="86" t="s">
        <v>57</v>
      </c>
      <c r="E5" s="87" t="s">
        <v>138</v>
      </c>
      <c r="F5" s="83" t="s">
        <v>56</v>
      </c>
      <c r="G5" s="448">
        <f t="shared" ca="1" si="0"/>
        <v>0</v>
      </c>
      <c r="H5" s="239" t="e">
        <f ca="1">G5/$G$56</f>
        <v>#DIV/0!</v>
      </c>
      <c r="I5" s="88" t="e">
        <f t="shared" ref="I5:I35" ca="1" si="2">somaCodigo(2,D5)</f>
        <v>#VALUE!</v>
      </c>
      <c r="J5" s="94" t="e">
        <f t="shared" ref="J5:J55" ca="1" si="3">I5/$I$56</f>
        <v>#VALUE!</v>
      </c>
      <c r="K5" s="90" t="e">
        <f t="shared" ref="K5:K35" ca="1" si="4">somaCodigo(3,D5)</f>
        <v>#VALUE!</v>
      </c>
      <c r="L5" s="91" t="e">
        <f t="shared" ref="L5:L55" ca="1" si="5">K5/$K$56</f>
        <v>#VALUE!</v>
      </c>
      <c r="M5" s="92" t="e">
        <f t="shared" ref="M5:M35" ca="1" si="6">somaCodigo(4,D5)</f>
        <v>#VALUE!</v>
      </c>
      <c r="N5" s="94" t="e">
        <f t="shared" ref="N5:N55" ca="1" si="7">M5/$M$56</f>
        <v>#VALUE!</v>
      </c>
      <c r="O5" s="90" t="e">
        <f t="shared" ref="O5:O35" ca="1" si="8">somaCodigo(5,D5)</f>
        <v>#VALUE!</v>
      </c>
      <c r="P5" s="91" t="e">
        <f t="shared" ref="P5:P55" ca="1" si="9">O5/$O$56</f>
        <v>#VALUE!</v>
      </c>
      <c r="Q5" s="92" t="e">
        <f t="shared" ref="Q5:Q35" ca="1" si="10">somaCodigo(6,D5)</f>
        <v>#VALUE!</v>
      </c>
      <c r="R5" s="94" t="e">
        <f t="shared" ref="R5:R55" ca="1" si="11">Q5/$Q$56</f>
        <v>#VALUE!</v>
      </c>
      <c r="S5" s="90" t="e">
        <f t="shared" ref="S5:S35" ca="1" si="12">somaCodigo(7,D5)</f>
        <v>#VALUE!</v>
      </c>
      <c r="T5" s="91" t="e">
        <f t="shared" ref="T5:T55" ca="1" si="13">S5/$S$56</f>
        <v>#VALUE!</v>
      </c>
      <c r="U5" s="95" t="e">
        <f t="shared" ref="U5:U35" ca="1" si="14">somaCodigo(8,D5)</f>
        <v>#VALUE!</v>
      </c>
      <c r="V5" s="96" t="e">
        <f t="shared" ref="V5:V55" ca="1" si="15">U5/$U$56</f>
        <v>#VALUE!</v>
      </c>
      <c r="W5" s="90" t="e">
        <f t="shared" ref="W5:W35" ca="1" si="16">somaCodigo(9,D5)</f>
        <v>#VALUE!</v>
      </c>
      <c r="X5" s="91" t="e">
        <f t="shared" ref="X5:X55" ca="1" si="17">W5/$W$56</f>
        <v>#VALUE!</v>
      </c>
      <c r="Y5" s="95" t="e">
        <f t="shared" ref="Y5:Y35" ca="1" si="18">somaCodigo(10,D5)</f>
        <v>#VALUE!</v>
      </c>
      <c r="Z5" s="96" t="e">
        <f t="shared" ref="Z5:Z55" ca="1" si="19">Y5/$Y$56</f>
        <v>#VALUE!</v>
      </c>
      <c r="AA5" s="90" t="e">
        <f t="shared" ref="AA5:AA55" ca="1" si="20">somaCodigo(12,D5)</f>
        <v>#VALUE!</v>
      </c>
      <c r="AB5" s="91" t="e">
        <f t="shared" ref="AB5:AB55" ca="1" si="21">AA5/$AA$56</f>
        <v>#VALUE!</v>
      </c>
      <c r="AC5" s="95" t="e">
        <f t="shared" ref="AC5:AC55" ca="1" si="22">somaCodigo(12,D5)</f>
        <v>#VALUE!</v>
      </c>
      <c r="AD5" s="96" t="e">
        <f t="shared" ref="AD5:AD55" ca="1" si="23">AC5/$AC$56</f>
        <v>#VALUE!</v>
      </c>
      <c r="AE5" s="90" t="e">
        <f t="shared" ca="1" si="1"/>
        <v>#VALUE!</v>
      </c>
      <c r="AF5" s="91" t="e">
        <f t="shared" ref="AF5:AF55" ca="1" si="24">AE5/SUM($AE$4:$AE$55)</f>
        <v>#VALUE!</v>
      </c>
    </row>
    <row r="6" spans="2:32" s="76" customFormat="1" ht="24.75" customHeight="1">
      <c r="B6" s="633"/>
      <c r="C6" s="85">
        <v>3</v>
      </c>
      <c r="D6" s="86" t="s">
        <v>59</v>
      </c>
      <c r="E6" s="87" t="s">
        <v>139</v>
      </c>
      <c r="F6" s="83" t="s">
        <v>58</v>
      </c>
      <c r="G6" s="448">
        <f t="shared" ca="1" si="0"/>
        <v>0</v>
      </c>
      <c r="H6" s="239" t="e">
        <f t="shared" ref="H6:H55" ca="1" si="25">G6/$G$56</f>
        <v>#DIV/0!</v>
      </c>
      <c r="I6" s="88" t="e">
        <f t="shared" ca="1" si="2"/>
        <v>#VALUE!</v>
      </c>
      <c r="J6" s="94" t="e">
        <f t="shared" ca="1" si="3"/>
        <v>#VALUE!</v>
      </c>
      <c r="K6" s="90" t="e">
        <f t="shared" ca="1" si="4"/>
        <v>#VALUE!</v>
      </c>
      <c r="L6" s="91" t="e">
        <f t="shared" ca="1" si="5"/>
        <v>#VALUE!</v>
      </c>
      <c r="M6" s="92" t="e">
        <f t="shared" ca="1" si="6"/>
        <v>#VALUE!</v>
      </c>
      <c r="N6" s="94" t="e">
        <f t="shared" ca="1" si="7"/>
        <v>#VALUE!</v>
      </c>
      <c r="O6" s="90" t="e">
        <f t="shared" ca="1" si="8"/>
        <v>#VALUE!</v>
      </c>
      <c r="P6" s="91" t="e">
        <f t="shared" ca="1" si="9"/>
        <v>#VALUE!</v>
      </c>
      <c r="Q6" s="92" t="e">
        <f t="shared" ca="1" si="10"/>
        <v>#VALUE!</v>
      </c>
      <c r="R6" s="94" t="e">
        <f t="shared" ca="1" si="11"/>
        <v>#VALUE!</v>
      </c>
      <c r="S6" s="90" t="e">
        <f t="shared" ca="1" si="12"/>
        <v>#VALUE!</v>
      </c>
      <c r="T6" s="91" t="e">
        <f t="shared" ca="1" si="13"/>
        <v>#VALUE!</v>
      </c>
      <c r="U6" s="95" t="e">
        <f t="shared" ca="1" si="14"/>
        <v>#VALUE!</v>
      </c>
      <c r="V6" s="96" t="e">
        <f t="shared" ca="1" si="15"/>
        <v>#VALUE!</v>
      </c>
      <c r="W6" s="90" t="e">
        <f t="shared" ca="1" si="16"/>
        <v>#VALUE!</v>
      </c>
      <c r="X6" s="91" t="e">
        <f t="shared" ca="1" si="17"/>
        <v>#VALUE!</v>
      </c>
      <c r="Y6" s="95" t="e">
        <f t="shared" ca="1" si="18"/>
        <v>#VALUE!</v>
      </c>
      <c r="Z6" s="96" t="e">
        <f t="shared" ca="1" si="19"/>
        <v>#VALUE!</v>
      </c>
      <c r="AA6" s="90" t="e">
        <f t="shared" ca="1" si="20"/>
        <v>#VALUE!</v>
      </c>
      <c r="AB6" s="91" t="e">
        <f t="shared" ca="1" si="21"/>
        <v>#VALUE!</v>
      </c>
      <c r="AC6" s="95" t="e">
        <f t="shared" ca="1" si="22"/>
        <v>#VALUE!</v>
      </c>
      <c r="AD6" s="96" t="e">
        <f t="shared" ca="1" si="23"/>
        <v>#VALUE!</v>
      </c>
      <c r="AE6" s="90" t="e">
        <f t="shared" ca="1" si="1"/>
        <v>#VALUE!</v>
      </c>
      <c r="AF6" s="91" t="e">
        <f t="shared" ca="1" si="24"/>
        <v>#VALUE!</v>
      </c>
    </row>
    <row r="7" spans="2:32" s="76" customFormat="1" ht="24.75" customHeight="1">
      <c r="B7" s="633"/>
      <c r="C7" s="85">
        <v>4</v>
      </c>
      <c r="D7" s="86" t="s">
        <v>37</v>
      </c>
      <c r="E7" s="87" t="s">
        <v>74</v>
      </c>
      <c r="F7" s="83" t="s">
        <v>60</v>
      </c>
      <c r="G7" s="448">
        <f t="shared" ca="1" si="0"/>
        <v>0</v>
      </c>
      <c r="H7" s="239" t="e">
        <f t="shared" ca="1" si="25"/>
        <v>#DIV/0!</v>
      </c>
      <c r="I7" s="88" t="e">
        <f t="shared" ca="1" si="2"/>
        <v>#VALUE!</v>
      </c>
      <c r="J7" s="94" t="e">
        <f t="shared" ca="1" si="3"/>
        <v>#VALUE!</v>
      </c>
      <c r="K7" s="90" t="e">
        <f t="shared" ca="1" si="4"/>
        <v>#VALUE!</v>
      </c>
      <c r="L7" s="91" t="e">
        <f t="shared" ca="1" si="5"/>
        <v>#VALUE!</v>
      </c>
      <c r="M7" s="92" t="e">
        <f t="shared" ca="1" si="6"/>
        <v>#VALUE!</v>
      </c>
      <c r="N7" s="94" t="e">
        <f t="shared" ca="1" si="7"/>
        <v>#VALUE!</v>
      </c>
      <c r="O7" s="90" t="e">
        <f t="shared" ca="1" si="8"/>
        <v>#VALUE!</v>
      </c>
      <c r="P7" s="91" t="e">
        <f t="shared" ca="1" si="9"/>
        <v>#VALUE!</v>
      </c>
      <c r="Q7" s="92" t="e">
        <f t="shared" ca="1" si="10"/>
        <v>#VALUE!</v>
      </c>
      <c r="R7" s="94" t="e">
        <f t="shared" ca="1" si="11"/>
        <v>#VALUE!</v>
      </c>
      <c r="S7" s="90" t="e">
        <f t="shared" ca="1" si="12"/>
        <v>#VALUE!</v>
      </c>
      <c r="T7" s="91" t="e">
        <f t="shared" ca="1" si="13"/>
        <v>#VALUE!</v>
      </c>
      <c r="U7" s="95" t="e">
        <f t="shared" ca="1" si="14"/>
        <v>#VALUE!</v>
      </c>
      <c r="V7" s="96" t="e">
        <f t="shared" ca="1" si="15"/>
        <v>#VALUE!</v>
      </c>
      <c r="W7" s="90" t="e">
        <f t="shared" ca="1" si="16"/>
        <v>#VALUE!</v>
      </c>
      <c r="X7" s="91" t="e">
        <f t="shared" ca="1" si="17"/>
        <v>#VALUE!</v>
      </c>
      <c r="Y7" s="95" t="e">
        <f t="shared" ca="1" si="18"/>
        <v>#VALUE!</v>
      </c>
      <c r="Z7" s="96" t="e">
        <f t="shared" ca="1" si="19"/>
        <v>#VALUE!</v>
      </c>
      <c r="AA7" s="90" t="e">
        <f t="shared" ca="1" si="20"/>
        <v>#VALUE!</v>
      </c>
      <c r="AB7" s="91" t="e">
        <f t="shared" ca="1" si="21"/>
        <v>#VALUE!</v>
      </c>
      <c r="AC7" s="95" t="e">
        <f t="shared" ca="1" si="22"/>
        <v>#VALUE!</v>
      </c>
      <c r="AD7" s="96" t="e">
        <f t="shared" ca="1" si="23"/>
        <v>#VALUE!</v>
      </c>
      <c r="AE7" s="90" t="e">
        <f t="shared" ca="1" si="1"/>
        <v>#VALUE!</v>
      </c>
      <c r="AF7" s="91" t="e">
        <f t="shared" ca="1" si="24"/>
        <v>#VALUE!</v>
      </c>
    </row>
    <row r="8" spans="2:32" s="76" customFormat="1" ht="24.75" customHeight="1">
      <c r="B8" s="633"/>
      <c r="C8" s="85">
        <v>5</v>
      </c>
      <c r="D8" s="86" t="s">
        <v>62</v>
      </c>
      <c r="E8" s="87" t="s">
        <v>75</v>
      </c>
      <c r="F8" s="83" t="s">
        <v>61</v>
      </c>
      <c r="G8" s="448">
        <f t="shared" ca="1" si="0"/>
        <v>0</v>
      </c>
      <c r="H8" s="239" t="e">
        <f t="shared" ca="1" si="25"/>
        <v>#DIV/0!</v>
      </c>
      <c r="I8" s="88" t="e">
        <f t="shared" ca="1" si="2"/>
        <v>#VALUE!</v>
      </c>
      <c r="J8" s="94" t="e">
        <f t="shared" ca="1" si="3"/>
        <v>#VALUE!</v>
      </c>
      <c r="K8" s="90" t="e">
        <f t="shared" ca="1" si="4"/>
        <v>#VALUE!</v>
      </c>
      <c r="L8" s="91" t="e">
        <f t="shared" ca="1" si="5"/>
        <v>#VALUE!</v>
      </c>
      <c r="M8" s="92" t="e">
        <f t="shared" ca="1" si="6"/>
        <v>#VALUE!</v>
      </c>
      <c r="N8" s="94" t="e">
        <f t="shared" ca="1" si="7"/>
        <v>#VALUE!</v>
      </c>
      <c r="O8" s="90" t="e">
        <f t="shared" ca="1" si="8"/>
        <v>#VALUE!</v>
      </c>
      <c r="P8" s="91" t="e">
        <f t="shared" ca="1" si="9"/>
        <v>#VALUE!</v>
      </c>
      <c r="Q8" s="92" t="e">
        <f t="shared" ca="1" si="10"/>
        <v>#VALUE!</v>
      </c>
      <c r="R8" s="94" t="e">
        <f t="shared" ca="1" si="11"/>
        <v>#VALUE!</v>
      </c>
      <c r="S8" s="90" t="e">
        <f t="shared" ca="1" si="12"/>
        <v>#VALUE!</v>
      </c>
      <c r="T8" s="91" t="e">
        <f t="shared" ca="1" si="13"/>
        <v>#VALUE!</v>
      </c>
      <c r="U8" s="95" t="e">
        <f t="shared" ca="1" si="14"/>
        <v>#VALUE!</v>
      </c>
      <c r="V8" s="96" t="e">
        <f t="shared" ca="1" si="15"/>
        <v>#VALUE!</v>
      </c>
      <c r="W8" s="90" t="e">
        <f t="shared" ca="1" si="16"/>
        <v>#VALUE!</v>
      </c>
      <c r="X8" s="91" t="e">
        <f t="shared" ca="1" si="17"/>
        <v>#VALUE!</v>
      </c>
      <c r="Y8" s="95" t="e">
        <f t="shared" ca="1" si="18"/>
        <v>#VALUE!</v>
      </c>
      <c r="Z8" s="96" t="e">
        <f t="shared" ca="1" si="19"/>
        <v>#VALUE!</v>
      </c>
      <c r="AA8" s="90" t="e">
        <f t="shared" ca="1" si="20"/>
        <v>#VALUE!</v>
      </c>
      <c r="AB8" s="91" t="e">
        <f t="shared" ca="1" si="21"/>
        <v>#VALUE!</v>
      </c>
      <c r="AC8" s="95" t="e">
        <f t="shared" ca="1" si="22"/>
        <v>#VALUE!</v>
      </c>
      <c r="AD8" s="96" t="e">
        <f t="shared" ca="1" si="23"/>
        <v>#VALUE!</v>
      </c>
      <c r="AE8" s="90" t="e">
        <f t="shared" ca="1" si="1"/>
        <v>#VALUE!</v>
      </c>
      <c r="AF8" s="91" t="e">
        <f t="shared" ca="1" si="24"/>
        <v>#VALUE!</v>
      </c>
    </row>
    <row r="9" spans="2:32" s="76" customFormat="1" ht="24.75" customHeight="1">
      <c r="B9" s="633"/>
      <c r="C9" s="85">
        <v>6</v>
      </c>
      <c r="D9" s="86" t="s">
        <v>64</v>
      </c>
      <c r="E9" s="87" t="s">
        <v>65</v>
      </c>
      <c r="F9" s="83" t="s">
        <v>63</v>
      </c>
      <c r="G9" s="448">
        <f t="shared" ca="1" si="0"/>
        <v>0</v>
      </c>
      <c r="H9" s="239" t="e">
        <f t="shared" ca="1" si="25"/>
        <v>#DIV/0!</v>
      </c>
      <c r="I9" s="88" t="e">
        <f t="shared" ca="1" si="2"/>
        <v>#VALUE!</v>
      </c>
      <c r="J9" s="94" t="e">
        <f t="shared" ca="1" si="3"/>
        <v>#VALUE!</v>
      </c>
      <c r="K9" s="90" t="e">
        <f t="shared" ca="1" si="4"/>
        <v>#VALUE!</v>
      </c>
      <c r="L9" s="91" t="e">
        <f t="shared" ca="1" si="5"/>
        <v>#VALUE!</v>
      </c>
      <c r="M9" s="92" t="e">
        <f t="shared" ca="1" si="6"/>
        <v>#VALUE!</v>
      </c>
      <c r="N9" s="94" t="e">
        <f t="shared" ca="1" si="7"/>
        <v>#VALUE!</v>
      </c>
      <c r="O9" s="90" t="e">
        <f t="shared" ca="1" si="8"/>
        <v>#VALUE!</v>
      </c>
      <c r="P9" s="91" t="e">
        <f t="shared" ca="1" si="9"/>
        <v>#VALUE!</v>
      </c>
      <c r="Q9" s="92" t="e">
        <f t="shared" ca="1" si="10"/>
        <v>#VALUE!</v>
      </c>
      <c r="R9" s="94" t="e">
        <f t="shared" ca="1" si="11"/>
        <v>#VALUE!</v>
      </c>
      <c r="S9" s="90" t="e">
        <f t="shared" ca="1" si="12"/>
        <v>#VALUE!</v>
      </c>
      <c r="T9" s="91" t="e">
        <f t="shared" ca="1" si="13"/>
        <v>#VALUE!</v>
      </c>
      <c r="U9" s="95" t="e">
        <f t="shared" ca="1" si="14"/>
        <v>#VALUE!</v>
      </c>
      <c r="V9" s="96" t="e">
        <f t="shared" ca="1" si="15"/>
        <v>#VALUE!</v>
      </c>
      <c r="W9" s="90" t="e">
        <f t="shared" ca="1" si="16"/>
        <v>#VALUE!</v>
      </c>
      <c r="X9" s="91" t="e">
        <f t="shared" ca="1" si="17"/>
        <v>#VALUE!</v>
      </c>
      <c r="Y9" s="95" t="e">
        <f t="shared" ca="1" si="18"/>
        <v>#VALUE!</v>
      </c>
      <c r="Z9" s="96" t="e">
        <f t="shared" ca="1" si="19"/>
        <v>#VALUE!</v>
      </c>
      <c r="AA9" s="90" t="e">
        <f t="shared" ca="1" si="20"/>
        <v>#VALUE!</v>
      </c>
      <c r="AB9" s="91" t="e">
        <f t="shared" ca="1" si="21"/>
        <v>#VALUE!</v>
      </c>
      <c r="AC9" s="95" t="e">
        <f t="shared" ca="1" si="22"/>
        <v>#VALUE!</v>
      </c>
      <c r="AD9" s="96" t="e">
        <f t="shared" ca="1" si="23"/>
        <v>#VALUE!</v>
      </c>
      <c r="AE9" s="90" t="e">
        <f t="shared" ca="1" si="1"/>
        <v>#VALUE!</v>
      </c>
      <c r="AF9" s="91" t="e">
        <f t="shared" ca="1" si="24"/>
        <v>#VALUE!</v>
      </c>
    </row>
    <row r="10" spans="2:32" s="76" customFormat="1" ht="24.75" customHeight="1">
      <c r="B10" s="633"/>
      <c r="C10" s="85">
        <v>7</v>
      </c>
      <c r="D10" s="86" t="s">
        <v>67</v>
      </c>
      <c r="E10" s="87" t="s">
        <v>140</v>
      </c>
      <c r="F10" s="83" t="s">
        <v>66</v>
      </c>
      <c r="G10" s="448">
        <f t="shared" ca="1" si="0"/>
        <v>0</v>
      </c>
      <c r="H10" s="239" t="e">
        <f ca="1">G10/$G$56</f>
        <v>#DIV/0!</v>
      </c>
      <c r="I10" s="88" t="e">
        <f t="shared" ca="1" si="2"/>
        <v>#VALUE!</v>
      </c>
      <c r="J10" s="94" t="e">
        <f t="shared" ca="1" si="3"/>
        <v>#VALUE!</v>
      </c>
      <c r="K10" s="90" t="e">
        <f t="shared" ca="1" si="4"/>
        <v>#VALUE!</v>
      </c>
      <c r="L10" s="91" t="e">
        <f t="shared" ca="1" si="5"/>
        <v>#VALUE!</v>
      </c>
      <c r="M10" s="92" t="e">
        <f t="shared" ca="1" si="6"/>
        <v>#VALUE!</v>
      </c>
      <c r="N10" s="94" t="e">
        <f t="shared" ca="1" si="7"/>
        <v>#VALUE!</v>
      </c>
      <c r="O10" s="90" t="e">
        <f t="shared" ca="1" si="8"/>
        <v>#VALUE!</v>
      </c>
      <c r="P10" s="91" t="e">
        <f t="shared" ca="1" si="9"/>
        <v>#VALUE!</v>
      </c>
      <c r="Q10" s="92" t="e">
        <f t="shared" ca="1" si="10"/>
        <v>#VALUE!</v>
      </c>
      <c r="R10" s="94" t="e">
        <f t="shared" ca="1" si="11"/>
        <v>#VALUE!</v>
      </c>
      <c r="S10" s="90" t="e">
        <f t="shared" ca="1" si="12"/>
        <v>#VALUE!</v>
      </c>
      <c r="T10" s="91" t="e">
        <f t="shared" ca="1" si="13"/>
        <v>#VALUE!</v>
      </c>
      <c r="U10" s="95" t="e">
        <f t="shared" ca="1" si="14"/>
        <v>#VALUE!</v>
      </c>
      <c r="V10" s="96" t="e">
        <f t="shared" ca="1" si="15"/>
        <v>#VALUE!</v>
      </c>
      <c r="W10" s="90" t="e">
        <f t="shared" ca="1" si="16"/>
        <v>#VALUE!</v>
      </c>
      <c r="X10" s="91" t="e">
        <f t="shared" ca="1" si="17"/>
        <v>#VALUE!</v>
      </c>
      <c r="Y10" s="95" t="e">
        <f t="shared" ca="1" si="18"/>
        <v>#VALUE!</v>
      </c>
      <c r="Z10" s="96" t="e">
        <f t="shared" ca="1" si="19"/>
        <v>#VALUE!</v>
      </c>
      <c r="AA10" s="90" t="e">
        <f t="shared" ca="1" si="20"/>
        <v>#VALUE!</v>
      </c>
      <c r="AB10" s="91" t="e">
        <f t="shared" ca="1" si="21"/>
        <v>#VALUE!</v>
      </c>
      <c r="AC10" s="95" t="e">
        <f t="shared" ca="1" si="22"/>
        <v>#VALUE!</v>
      </c>
      <c r="AD10" s="96" t="e">
        <f t="shared" ca="1" si="23"/>
        <v>#VALUE!</v>
      </c>
      <c r="AE10" s="90" t="e">
        <f t="shared" ca="1" si="1"/>
        <v>#VALUE!</v>
      </c>
      <c r="AF10" s="91" t="e">
        <f t="shared" ca="1" si="24"/>
        <v>#VALUE!</v>
      </c>
    </row>
    <row r="11" spans="2:32" s="76" customFormat="1" ht="24.75" customHeight="1">
      <c r="B11" s="633"/>
      <c r="C11" s="85">
        <v>8</v>
      </c>
      <c r="D11" s="86" t="s">
        <v>69</v>
      </c>
      <c r="E11" s="87" t="s">
        <v>137</v>
      </c>
      <c r="F11" s="83" t="s">
        <v>68</v>
      </c>
      <c r="G11" s="448">
        <f t="shared" ca="1" si="0"/>
        <v>0</v>
      </c>
      <c r="H11" s="239" t="e">
        <f t="shared" ca="1" si="25"/>
        <v>#DIV/0!</v>
      </c>
      <c r="I11" s="88" t="e">
        <f t="shared" ca="1" si="2"/>
        <v>#VALUE!</v>
      </c>
      <c r="J11" s="94" t="e">
        <f t="shared" ca="1" si="3"/>
        <v>#VALUE!</v>
      </c>
      <c r="K11" s="90" t="e">
        <f t="shared" ca="1" si="4"/>
        <v>#VALUE!</v>
      </c>
      <c r="L11" s="91" t="e">
        <f t="shared" ca="1" si="5"/>
        <v>#VALUE!</v>
      </c>
      <c r="M11" s="92" t="e">
        <f t="shared" ca="1" si="6"/>
        <v>#VALUE!</v>
      </c>
      <c r="N11" s="94" t="e">
        <f t="shared" ca="1" si="7"/>
        <v>#VALUE!</v>
      </c>
      <c r="O11" s="90" t="e">
        <f t="shared" ca="1" si="8"/>
        <v>#VALUE!</v>
      </c>
      <c r="P11" s="91" t="e">
        <f t="shared" ca="1" si="9"/>
        <v>#VALUE!</v>
      </c>
      <c r="Q11" s="92" t="e">
        <f t="shared" ca="1" si="10"/>
        <v>#VALUE!</v>
      </c>
      <c r="R11" s="94" t="e">
        <f t="shared" ca="1" si="11"/>
        <v>#VALUE!</v>
      </c>
      <c r="S11" s="90" t="e">
        <f t="shared" ca="1" si="12"/>
        <v>#VALUE!</v>
      </c>
      <c r="T11" s="91" t="e">
        <f t="shared" ca="1" si="13"/>
        <v>#VALUE!</v>
      </c>
      <c r="U11" s="95" t="e">
        <f t="shared" ca="1" si="14"/>
        <v>#VALUE!</v>
      </c>
      <c r="V11" s="96" t="e">
        <f t="shared" ca="1" si="15"/>
        <v>#VALUE!</v>
      </c>
      <c r="W11" s="90" t="e">
        <f t="shared" ca="1" si="16"/>
        <v>#VALUE!</v>
      </c>
      <c r="X11" s="91" t="e">
        <f t="shared" ca="1" si="17"/>
        <v>#VALUE!</v>
      </c>
      <c r="Y11" s="95" t="e">
        <f t="shared" ca="1" si="18"/>
        <v>#VALUE!</v>
      </c>
      <c r="Z11" s="96" t="e">
        <f t="shared" ca="1" si="19"/>
        <v>#VALUE!</v>
      </c>
      <c r="AA11" s="90" t="e">
        <f t="shared" ca="1" si="20"/>
        <v>#VALUE!</v>
      </c>
      <c r="AB11" s="91" t="e">
        <f t="shared" ca="1" si="21"/>
        <v>#VALUE!</v>
      </c>
      <c r="AC11" s="95" t="e">
        <f t="shared" ca="1" si="22"/>
        <v>#VALUE!</v>
      </c>
      <c r="AD11" s="96" t="e">
        <f t="shared" ca="1" si="23"/>
        <v>#VALUE!</v>
      </c>
      <c r="AE11" s="90" t="e">
        <f t="shared" ca="1" si="1"/>
        <v>#VALUE!</v>
      </c>
      <c r="AF11" s="91" t="e">
        <f t="shared" ca="1" si="24"/>
        <v>#VALUE!</v>
      </c>
    </row>
    <row r="12" spans="2:32" s="76" customFormat="1" ht="24.75" customHeight="1">
      <c r="B12" s="633"/>
      <c r="C12" s="85">
        <v>9</v>
      </c>
      <c r="D12" s="86"/>
      <c r="E12" s="87"/>
      <c r="F12" s="83"/>
      <c r="G12" s="448">
        <f t="shared" ca="1" si="0"/>
        <v>0</v>
      </c>
      <c r="H12" s="239" t="e">
        <f t="shared" ca="1" si="25"/>
        <v>#DIV/0!</v>
      </c>
      <c r="I12" s="88" t="e">
        <f t="shared" ca="1" si="2"/>
        <v>#VALUE!</v>
      </c>
      <c r="J12" s="94" t="e">
        <f t="shared" ca="1" si="3"/>
        <v>#VALUE!</v>
      </c>
      <c r="K12" s="90" t="e">
        <f t="shared" ca="1" si="4"/>
        <v>#VALUE!</v>
      </c>
      <c r="L12" s="91" t="e">
        <f t="shared" ca="1" si="5"/>
        <v>#VALUE!</v>
      </c>
      <c r="M12" s="92" t="e">
        <f t="shared" ca="1" si="6"/>
        <v>#VALUE!</v>
      </c>
      <c r="N12" s="94" t="e">
        <f t="shared" ca="1" si="7"/>
        <v>#VALUE!</v>
      </c>
      <c r="O12" s="90" t="e">
        <f t="shared" ca="1" si="8"/>
        <v>#VALUE!</v>
      </c>
      <c r="P12" s="91" t="e">
        <f t="shared" ca="1" si="9"/>
        <v>#VALUE!</v>
      </c>
      <c r="Q12" s="92" t="e">
        <f t="shared" ca="1" si="10"/>
        <v>#VALUE!</v>
      </c>
      <c r="R12" s="94" t="e">
        <f t="shared" ca="1" si="11"/>
        <v>#VALUE!</v>
      </c>
      <c r="S12" s="90" t="e">
        <f t="shared" ca="1" si="12"/>
        <v>#VALUE!</v>
      </c>
      <c r="T12" s="91" t="e">
        <f t="shared" ca="1" si="13"/>
        <v>#VALUE!</v>
      </c>
      <c r="U12" s="95" t="e">
        <f t="shared" ca="1" si="14"/>
        <v>#VALUE!</v>
      </c>
      <c r="V12" s="96" t="e">
        <f t="shared" ca="1" si="15"/>
        <v>#VALUE!</v>
      </c>
      <c r="W12" s="90" t="e">
        <f t="shared" ca="1" si="16"/>
        <v>#VALUE!</v>
      </c>
      <c r="X12" s="91" t="e">
        <f t="shared" ca="1" si="17"/>
        <v>#VALUE!</v>
      </c>
      <c r="Y12" s="95" t="e">
        <f t="shared" ca="1" si="18"/>
        <v>#VALUE!</v>
      </c>
      <c r="Z12" s="96" t="e">
        <f t="shared" ca="1" si="19"/>
        <v>#VALUE!</v>
      </c>
      <c r="AA12" s="90" t="e">
        <f t="shared" ca="1" si="20"/>
        <v>#VALUE!</v>
      </c>
      <c r="AB12" s="91" t="e">
        <f t="shared" ca="1" si="21"/>
        <v>#VALUE!</v>
      </c>
      <c r="AC12" s="95" t="e">
        <f t="shared" ca="1" si="22"/>
        <v>#VALUE!</v>
      </c>
      <c r="AD12" s="96" t="e">
        <f t="shared" ca="1" si="23"/>
        <v>#VALUE!</v>
      </c>
      <c r="AE12" s="90" t="e">
        <f t="shared" ca="1" si="1"/>
        <v>#VALUE!</v>
      </c>
      <c r="AF12" s="91" t="e">
        <f t="shared" ca="1" si="24"/>
        <v>#VALUE!</v>
      </c>
    </row>
    <row r="13" spans="2:32" s="76" customFormat="1" ht="24.75" customHeight="1">
      <c r="B13" s="633"/>
      <c r="C13" s="85">
        <v>10</v>
      </c>
      <c r="D13" s="86"/>
      <c r="E13" s="87"/>
      <c r="F13" s="83"/>
      <c r="G13" s="448">
        <f t="shared" ca="1" si="0"/>
        <v>0</v>
      </c>
      <c r="H13" s="239" t="e">
        <f t="shared" ca="1" si="25"/>
        <v>#DIV/0!</v>
      </c>
      <c r="I13" s="88" t="e">
        <f t="shared" ca="1" si="2"/>
        <v>#VALUE!</v>
      </c>
      <c r="J13" s="94" t="e">
        <f t="shared" ca="1" si="3"/>
        <v>#VALUE!</v>
      </c>
      <c r="K13" s="90" t="e">
        <f t="shared" ca="1" si="4"/>
        <v>#VALUE!</v>
      </c>
      <c r="L13" s="91" t="e">
        <f t="shared" ca="1" si="5"/>
        <v>#VALUE!</v>
      </c>
      <c r="M13" s="92" t="e">
        <f t="shared" ca="1" si="6"/>
        <v>#VALUE!</v>
      </c>
      <c r="N13" s="94" t="e">
        <f t="shared" ca="1" si="7"/>
        <v>#VALUE!</v>
      </c>
      <c r="O13" s="90" t="e">
        <f t="shared" ca="1" si="8"/>
        <v>#VALUE!</v>
      </c>
      <c r="P13" s="91" t="e">
        <f t="shared" ca="1" si="9"/>
        <v>#VALUE!</v>
      </c>
      <c r="Q13" s="92" t="e">
        <f t="shared" ca="1" si="10"/>
        <v>#VALUE!</v>
      </c>
      <c r="R13" s="94" t="e">
        <f t="shared" ca="1" si="11"/>
        <v>#VALUE!</v>
      </c>
      <c r="S13" s="90" t="e">
        <f t="shared" ca="1" si="12"/>
        <v>#VALUE!</v>
      </c>
      <c r="T13" s="91" t="e">
        <f t="shared" ca="1" si="13"/>
        <v>#VALUE!</v>
      </c>
      <c r="U13" s="95" t="e">
        <f t="shared" ca="1" si="14"/>
        <v>#VALUE!</v>
      </c>
      <c r="V13" s="96" t="e">
        <f t="shared" ca="1" si="15"/>
        <v>#VALUE!</v>
      </c>
      <c r="W13" s="90" t="e">
        <f t="shared" ca="1" si="16"/>
        <v>#VALUE!</v>
      </c>
      <c r="X13" s="91" t="e">
        <f t="shared" ca="1" si="17"/>
        <v>#VALUE!</v>
      </c>
      <c r="Y13" s="95" t="e">
        <f t="shared" ca="1" si="18"/>
        <v>#VALUE!</v>
      </c>
      <c r="Z13" s="96" t="e">
        <f t="shared" ca="1" si="19"/>
        <v>#VALUE!</v>
      </c>
      <c r="AA13" s="90" t="e">
        <f t="shared" ca="1" si="20"/>
        <v>#VALUE!</v>
      </c>
      <c r="AB13" s="91" t="e">
        <f t="shared" ca="1" si="21"/>
        <v>#VALUE!</v>
      </c>
      <c r="AC13" s="95" t="e">
        <f t="shared" ca="1" si="22"/>
        <v>#VALUE!</v>
      </c>
      <c r="AD13" s="96" t="e">
        <f t="shared" ca="1" si="23"/>
        <v>#VALUE!</v>
      </c>
      <c r="AE13" s="90" t="e">
        <f t="shared" ca="1" si="1"/>
        <v>#VALUE!</v>
      </c>
      <c r="AF13" s="91" t="e">
        <f t="shared" ca="1" si="24"/>
        <v>#VALUE!</v>
      </c>
    </row>
    <row r="14" spans="2:32" s="76" customFormat="1" ht="24.75" customHeight="1">
      <c r="B14" s="633"/>
      <c r="C14" s="85">
        <v>11</v>
      </c>
      <c r="D14" s="86"/>
      <c r="E14" s="87"/>
      <c r="F14" s="83"/>
      <c r="G14" s="448">
        <f t="shared" ca="1" si="0"/>
        <v>0</v>
      </c>
      <c r="H14" s="239" t="e">
        <f t="shared" ca="1" si="25"/>
        <v>#DIV/0!</v>
      </c>
      <c r="I14" s="88" t="e">
        <f t="shared" ca="1" si="2"/>
        <v>#VALUE!</v>
      </c>
      <c r="J14" s="94" t="e">
        <f t="shared" ca="1" si="3"/>
        <v>#VALUE!</v>
      </c>
      <c r="K14" s="90" t="e">
        <f t="shared" ca="1" si="4"/>
        <v>#VALUE!</v>
      </c>
      <c r="L14" s="91" t="e">
        <f t="shared" ca="1" si="5"/>
        <v>#VALUE!</v>
      </c>
      <c r="M14" s="92" t="e">
        <f t="shared" ca="1" si="6"/>
        <v>#VALUE!</v>
      </c>
      <c r="N14" s="94" t="e">
        <f t="shared" ca="1" si="7"/>
        <v>#VALUE!</v>
      </c>
      <c r="O14" s="90" t="e">
        <f t="shared" ca="1" si="8"/>
        <v>#VALUE!</v>
      </c>
      <c r="P14" s="91" t="e">
        <f t="shared" ca="1" si="9"/>
        <v>#VALUE!</v>
      </c>
      <c r="Q14" s="92" t="e">
        <f t="shared" ca="1" si="10"/>
        <v>#VALUE!</v>
      </c>
      <c r="R14" s="94" t="e">
        <f t="shared" ca="1" si="11"/>
        <v>#VALUE!</v>
      </c>
      <c r="S14" s="90" t="e">
        <f t="shared" ca="1" si="12"/>
        <v>#VALUE!</v>
      </c>
      <c r="T14" s="91" t="e">
        <f t="shared" ca="1" si="13"/>
        <v>#VALUE!</v>
      </c>
      <c r="U14" s="95" t="e">
        <f t="shared" ca="1" si="14"/>
        <v>#VALUE!</v>
      </c>
      <c r="V14" s="96" t="e">
        <f t="shared" ca="1" si="15"/>
        <v>#VALUE!</v>
      </c>
      <c r="W14" s="90" t="e">
        <f t="shared" ca="1" si="16"/>
        <v>#VALUE!</v>
      </c>
      <c r="X14" s="91" t="e">
        <f t="shared" ca="1" si="17"/>
        <v>#VALUE!</v>
      </c>
      <c r="Y14" s="95" t="e">
        <f t="shared" ca="1" si="18"/>
        <v>#VALUE!</v>
      </c>
      <c r="Z14" s="96" t="e">
        <f t="shared" ca="1" si="19"/>
        <v>#VALUE!</v>
      </c>
      <c r="AA14" s="90" t="e">
        <f t="shared" ca="1" si="20"/>
        <v>#VALUE!</v>
      </c>
      <c r="AB14" s="91" t="e">
        <f t="shared" ca="1" si="21"/>
        <v>#VALUE!</v>
      </c>
      <c r="AC14" s="95" t="e">
        <f t="shared" ca="1" si="22"/>
        <v>#VALUE!</v>
      </c>
      <c r="AD14" s="96" t="e">
        <f t="shared" ca="1" si="23"/>
        <v>#VALUE!</v>
      </c>
      <c r="AE14" s="90" t="e">
        <f t="shared" ca="1" si="1"/>
        <v>#VALUE!</v>
      </c>
      <c r="AF14" s="91" t="e">
        <f t="shared" ca="1" si="24"/>
        <v>#VALUE!</v>
      </c>
    </row>
    <row r="15" spans="2:32" s="76" customFormat="1" ht="24.75" customHeight="1">
      <c r="B15" s="633"/>
      <c r="C15" s="85">
        <v>12</v>
      </c>
      <c r="D15" s="86"/>
      <c r="E15" s="87"/>
      <c r="F15" s="83"/>
      <c r="G15" s="448">
        <f t="shared" ca="1" si="0"/>
        <v>0</v>
      </c>
      <c r="H15" s="239" t="e">
        <f t="shared" ca="1" si="25"/>
        <v>#DIV/0!</v>
      </c>
      <c r="I15" s="88" t="e">
        <f t="shared" ca="1" si="2"/>
        <v>#VALUE!</v>
      </c>
      <c r="J15" s="94" t="e">
        <f t="shared" ca="1" si="3"/>
        <v>#VALUE!</v>
      </c>
      <c r="K15" s="90" t="e">
        <f t="shared" ca="1" si="4"/>
        <v>#VALUE!</v>
      </c>
      <c r="L15" s="91" t="e">
        <f t="shared" ca="1" si="5"/>
        <v>#VALUE!</v>
      </c>
      <c r="M15" s="92" t="e">
        <f t="shared" ca="1" si="6"/>
        <v>#VALUE!</v>
      </c>
      <c r="N15" s="94" t="e">
        <f t="shared" ca="1" si="7"/>
        <v>#VALUE!</v>
      </c>
      <c r="O15" s="90" t="e">
        <f t="shared" ca="1" si="8"/>
        <v>#VALUE!</v>
      </c>
      <c r="P15" s="91" t="e">
        <f t="shared" ca="1" si="9"/>
        <v>#VALUE!</v>
      </c>
      <c r="Q15" s="92" t="e">
        <f t="shared" ca="1" si="10"/>
        <v>#VALUE!</v>
      </c>
      <c r="R15" s="94" t="e">
        <f t="shared" ca="1" si="11"/>
        <v>#VALUE!</v>
      </c>
      <c r="S15" s="90" t="e">
        <f t="shared" ca="1" si="12"/>
        <v>#VALUE!</v>
      </c>
      <c r="T15" s="91" t="e">
        <f t="shared" ca="1" si="13"/>
        <v>#VALUE!</v>
      </c>
      <c r="U15" s="95" t="e">
        <f t="shared" ca="1" si="14"/>
        <v>#VALUE!</v>
      </c>
      <c r="V15" s="96" t="e">
        <f t="shared" ca="1" si="15"/>
        <v>#VALUE!</v>
      </c>
      <c r="W15" s="90" t="e">
        <f t="shared" ca="1" si="16"/>
        <v>#VALUE!</v>
      </c>
      <c r="X15" s="91" t="e">
        <f t="shared" ca="1" si="17"/>
        <v>#VALUE!</v>
      </c>
      <c r="Y15" s="95" t="e">
        <f t="shared" ca="1" si="18"/>
        <v>#VALUE!</v>
      </c>
      <c r="Z15" s="96" t="e">
        <f t="shared" ca="1" si="19"/>
        <v>#VALUE!</v>
      </c>
      <c r="AA15" s="90" t="e">
        <f t="shared" ca="1" si="20"/>
        <v>#VALUE!</v>
      </c>
      <c r="AB15" s="91" t="e">
        <f t="shared" ca="1" si="21"/>
        <v>#VALUE!</v>
      </c>
      <c r="AC15" s="95" t="e">
        <f t="shared" ca="1" si="22"/>
        <v>#VALUE!</v>
      </c>
      <c r="AD15" s="96" t="e">
        <f t="shared" ca="1" si="23"/>
        <v>#VALUE!</v>
      </c>
      <c r="AE15" s="90" t="e">
        <f t="shared" ca="1" si="1"/>
        <v>#VALUE!</v>
      </c>
      <c r="AF15" s="91" t="e">
        <f t="shared" ca="1" si="24"/>
        <v>#VALUE!</v>
      </c>
    </row>
    <row r="16" spans="2:32" s="76" customFormat="1" ht="24.75" customHeight="1">
      <c r="B16" s="633"/>
      <c r="C16" s="85">
        <v>13</v>
      </c>
      <c r="D16" s="86"/>
      <c r="E16" s="87"/>
      <c r="F16" s="83"/>
      <c r="G16" s="448">
        <f t="shared" ca="1" si="0"/>
        <v>0</v>
      </c>
      <c r="H16" s="239" t="e">
        <f t="shared" ca="1" si="25"/>
        <v>#DIV/0!</v>
      </c>
      <c r="I16" s="88" t="e">
        <f t="shared" ca="1" si="2"/>
        <v>#VALUE!</v>
      </c>
      <c r="J16" s="537" t="e">
        <f ca="1">I16/$I$56</f>
        <v>#VALUE!</v>
      </c>
      <c r="K16" s="90" t="e">
        <f t="shared" ca="1" si="4"/>
        <v>#VALUE!</v>
      </c>
      <c r="L16" s="91" t="e">
        <f t="shared" ca="1" si="5"/>
        <v>#VALUE!</v>
      </c>
      <c r="M16" s="92" t="e">
        <f t="shared" ca="1" si="6"/>
        <v>#VALUE!</v>
      </c>
      <c r="N16" s="94" t="e">
        <f t="shared" ca="1" si="7"/>
        <v>#VALUE!</v>
      </c>
      <c r="O16" s="90" t="e">
        <f t="shared" ca="1" si="8"/>
        <v>#VALUE!</v>
      </c>
      <c r="P16" s="91" t="e">
        <f t="shared" ca="1" si="9"/>
        <v>#VALUE!</v>
      </c>
      <c r="Q16" s="92" t="e">
        <f t="shared" ca="1" si="10"/>
        <v>#VALUE!</v>
      </c>
      <c r="R16" s="94" t="e">
        <f t="shared" ca="1" si="11"/>
        <v>#VALUE!</v>
      </c>
      <c r="S16" s="90" t="e">
        <f t="shared" ca="1" si="12"/>
        <v>#VALUE!</v>
      </c>
      <c r="T16" s="91" t="e">
        <f t="shared" ca="1" si="13"/>
        <v>#VALUE!</v>
      </c>
      <c r="U16" s="95" t="e">
        <f t="shared" ca="1" si="14"/>
        <v>#VALUE!</v>
      </c>
      <c r="V16" s="96" t="e">
        <f t="shared" ca="1" si="15"/>
        <v>#VALUE!</v>
      </c>
      <c r="W16" s="90" t="e">
        <f t="shared" ca="1" si="16"/>
        <v>#VALUE!</v>
      </c>
      <c r="X16" s="91" t="e">
        <f t="shared" ca="1" si="17"/>
        <v>#VALUE!</v>
      </c>
      <c r="Y16" s="95" t="e">
        <f t="shared" ca="1" si="18"/>
        <v>#VALUE!</v>
      </c>
      <c r="Z16" s="96" t="e">
        <f t="shared" ca="1" si="19"/>
        <v>#VALUE!</v>
      </c>
      <c r="AA16" s="90" t="e">
        <f t="shared" ca="1" si="20"/>
        <v>#VALUE!</v>
      </c>
      <c r="AB16" s="91" t="e">
        <f t="shared" ca="1" si="21"/>
        <v>#VALUE!</v>
      </c>
      <c r="AC16" s="95" t="e">
        <f t="shared" ca="1" si="22"/>
        <v>#VALUE!</v>
      </c>
      <c r="AD16" s="96" t="e">
        <f t="shared" ca="1" si="23"/>
        <v>#VALUE!</v>
      </c>
      <c r="AE16" s="90" t="e">
        <f t="shared" ca="1" si="1"/>
        <v>#VALUE!</v>
      </c>
      <c r="AF16" s="91" t="e">
        <f t="shared" ca="1" si="24"/>
        <v>#VALUE!</v>
      </c>
    </row>
    <row r="17" spans="2:32" s="76" customFormat="1" ht="24.75" customHeight="1">
      <c r="B17" s="633"/>
      <c r="C17" s="85">
        <v>14</v>
      </c>
      <c r="D17" s="86"/>
      <c r="E17" s="87"/>
      <c r="F17" s="83"/>
      <c r="G17" s="448">
        <f t="shared" ca="1" si="0"/>
        <v>0</v>
      </c>
      <c r="H17" s="239" t="e">
        <f t="shared" ca="1" si="25"/>
        <v>#DIV/0!</v>
      </c>
      <c r="I17" s="88" t="e">
        <f t="shared" ca="1" si="2"/>
        <v>#VALUE!</v>
      </c>
      <c r="J17" s="94" t="e">
        <f t="shared" ca="1" si="3"/>
        <v>#VALUE!</v>
      </c>
      <c r="K17" s="90" t="e">
        <f t="shared" ca="1" si="4"/>
        <v>#VALUE!</v>
      </c>
      <c r="L17" s="91" t="e">
        <f t="shared" ca="1" si="5"/>
        <v>#VALUE!</v>
      </c>
      <c r="M17" s="92" t="e">
        <f t="shared" ca="1" si="6"/>
        <v>#VALUE!</v>
      </c>
      <c r="N17" s="94" t="e">
        <f t="shared" ca="1" si="7"/>
        <v>#VALUE!</v>
      </c>
      <c r="O17" s="90" t="e">
        <f t="shared" ca="1" si="8"/>
        <v>#VALUE!</v>
      </c>
      <c r="P17" s="91" t="e">
        <f t="shared" ca="1" si="9"/>
        <v>#VALUE!</v>
      </c>
      <c r="Q17" s="92" t="e">
        <f t="shared" ca="1" si="10"/>
        <v>#VALUE!</v>
      </c>
      <c r="R17" s="94" t="e">
        <f t="shared" ca="1" si="11"/>
        <v>#VALUE!</v>
      </c>
      <c r="S17" s="90" t="e">
        <f t="shared" ca="1" si="12"/>
        <v>#VALUE!</v>
      </c>
      <c r="T17" s="91" t="e">
        <f t="shared" ca="1" si="13"/>
        <v>#VALUE!</v>
      </c>
      <c r="U17" s="95" t="e">
        <f t="shared" ca="1" si="14"/>
        <v>#VALUE!</v>
      </c>
      <c r="V17" s="96" t="e">
        <f t="shared" ca="1" si="15"/>
        <v>#VALUE!</v>
      </c>
      <c r="W17" s="90" t="e">
        <f t="shared" ca="1" si="16"/>
        <v>#VALUE!</v>
      </c>
      <c r="X17" s="91" t="e">
        <f t="shared" ca="1" si="17"/>
        <v>#VALUE!</v>
      </c>
      <c r="Y17" s="95" t="e">
        <f t="shared" ca="1" si="18"/>
        <v>#VALUE!</v>
      </c>
      <c r="Z17" s="96" t="e">
        <f t="shared" ca="1" si="19"/>
        <v>#VALUE!</v>
      </c>
      <c r="AA17" s="90" t="e">
        <f t="shared" ca="1" si="20"/>
        <v>#VALUE!</v>
      </c>
      <c r="AB17" s="91" t="e">
        <f t="shared" ca="1" si="21"/>
        <v>#VALUE!</v>
      </c>
      <c r="AC17" s="95" t="e">
        <f t="shared" ca="1" si="22"/>
        <v>#VALUE!</v>
      </c>
      <c r="AD17" s="96" t="e">
        <f t="shared" ca="1" si="23"/>
        <v>#VALUE!</v>
      </c>
      <c r="AE17" s="90" t="e">
        <f t="shared" ca="1" si="1"/>
        <v>#VALUE!</v>
      </c>
      <c r="AF17" s="91" t="e">
        <f t="shared" ca="1" si="24"/>
        <v>#VALUE!</v>
      </c>
    </row>
    <row r="18" spans="2:32" s="76" customFormat="1" ht="24.75" customHeight="1">
      <c r="B18" s="633"/>
      <c r="C18" s="85">
        <v>15</v>
      </c>
      <c r="D18" s="78"/>
      <c r="E18" s="79"/>
      <c r="F18" s="77"/>
      <c r="G18" s="448">
        <f t="shared" ca="1" si="0"/>
        <v>0</v>
      </c>
      <c r="H18" s="239" t="e">
        <f t="shared" ca="1" si="25"/>
        <v>#DIV/0!</v>
      </c>
      <c r="I18" s="88" t="e">
        <f t="shared" ca="1" si="2"/>
        <v>#VALUE!</v>
      </c>
      <c r="J18" s="94" t="e">
        <f t="shared" ca="1" si="3"/>
        <v>#VALUE!</v>
      </c>
      <c r="K18" s="90" t="e">
        <f t="shared" ca="1" si="4"/>
        <v>#VALUE!</v>
      </c>
      <c r="L18" s="91" t="e">
        <f t="shared" ca="1" si="5"/>
        <v>#VALUE!</v>
      </c>
      <c r="M18" s="92" t="e">
        <f t="shared" ca="1" si="6"/>
        <v>#VALUE!</v>
      </c>
      <c r="N18" s="94" t="e">
        <f t="shared" ca="1" si="7"/>
        <v>#VALUE!</v>
      </c>
      <c r="O18" s="90" t="e">
        <f t="shared" ca="1" si="8"/>
        <v>#VALUE!</v>
      </c>
      <c r="P18" s="91" t="e">
        <f t="shared" ca="1" si="9"/>
        <v>#VALUE!</v>
      </c>
      <c r="Q18" s="92" t="e">
        <f t="shared" ca="1" si="10"/>
        <v>#VALUE!</v>
      </c>
      <c r="R18" s="94" t="e">
        <f t="shared" ca="1" si="11"/>
        <v>#VALUE!</v>
      </c>
      <c r="S18" s="90" t="e">
        <f t="shared" ca="1" si="12"/>
        <v>#VALUE!</v>
      </c>
      <c r="T18" s="91" t="e">
        <f t="shared" ca="1" si="13"/>
        <v>#VALUE!</v>
      </c>
      <c r="U18" s="95" t="e">
        <f t="shared" ca="1" si="14"/>
        <v>#VALUE!</v>
      </c>
      <c r="V18" s="96" t="e">
        <f t="shared" ca="1" si="15"/>
        <v>#VALUE!</v>
      </c>
      <c r="W18" s="90" t="e">
        <f t="shared" ca="1" si="16"/>
        <v>#VALUE!</v>
      </c>
      <c r="X18" s="91" t="e">
        <f t="shared" ca="1" si="17"/>
        <v>#VALUE!</v>
      </c>
      <c r="Y18" s="95" t="e">
        <f t="shared" ca="1" si="18"/>
        <v>#VALUE!</v>
      </c>
      <c r="Z18" s="96" t="e">
        <f t="shared" ca="1" si="19"/>
        <v>#VALUE!</v>
      </c>
      <c r="AA18" s="90" t="e">
        <f t="shared" ca="1" si="20"/>
        <v>#VALUE!</v>
      </c>
      <c r="AB18" s="91" t="e">
        <f t="shared" ca="1" si="21"/>
        <v>#VALUE!</v>
      </c>
      <c r="AC18" s="95" t="e">
        <f t="shared" ca="1" si="22"/>
        <v>#VALUE!</v>
      </c>
      <c r="AD18" s="96" t="e">
        <f t="shared" ca="1" si="23"/>
        <v>#VALUE!</v>
      </c>
      <c r="AE18" s="90" t="e">
        <f t="shared" ca="1" si="1"/>
        <v>#VALUE!</v>
      </c>
      <c r="AF18" s="91" t="e">
        <f t="shared" ca="1" si="24"/>
        <v>#VALUE!</v>
      </c>
    </row>
    <row r="19" spans="2:32" s="76" customFormat="1" ht="24.75" customHeight="1">
      <c r="B19" s="633"/>
      <c r="C19" s="85">
        <v>16</v>
      </c>
      <c r="D19" s="78"/>
      <c r="E19" s="79"/>
      <c r="F19" s="77"/>
      <c r="G19" s="448">
        <f t="shared" ca="1" si="0"/>
        <v>0</v>
      </c>
      <c r="H19" s="239" t="e">
        <f t="shared" ca="1" si="25"/>
        <v>#DIV/0!</v>
      </c>
      <c r="I19" s="88" t="e">
        <f t="shared" ca="1" si="2"/>
        <v>#VALUE!</v>
      </c>
      <c r="J19" s="94" t="e">
        <f t="shared" ca="1" si="3"/>
        <v>#VALUE!</v>
      </c>
      <c r="K19" s="90" t="e">
        <f t="shared" ca="1" si="4"/>
        <v>#VALUE!</v>
      </c>
      <c r="L19" s="91" t="e">
        <f t="shared" ca="1" si="5"/>
        <v>#VALUE!</v>
      </c>
      <c r="M19" s="92" t="e">
        <f t="shared" ca="1" si="6"/>
        <v>#VALUE!</v>
      </c>
      <c r="N19" s="94" t="e">
        <f t="shared" ca="1" si="7"/>
        <v>#VALUE!</v>
      </c>
      <c r="O19" s="90" t="e">
        <f t="shared" ca="1" si="8"/>
        <v>#VALUE!</v>
      </c>
      <c r="P19" s="91" t="e">
        <f t="shared" ca="1" si="9"/>
        <v>#VALUE!</v>
      </c>
      <c r="Q19" s="92" t="e">
        <f t="shared" ca="1" si="10"/>
        <v>#VALUE!</v>
      </c>
      <c r="R19" s="94" t="e">
        <f t="shared" ca="1" si="11"/>
        <v>#VALUE!</v>
      </c>
      <c r="S19" s="90" t="e">
        <f t="shared" ca="1" si="12"/>
        <v>#VALUE!</v>
      </c>
      <c r="T19" s="91" t="e">
        <f t="shared" ca="1" si="13"/>
        <v>#VALUE!</v>
      </c>
      <c r="U19" s="95" t="e">
        <f t="shared" ca="1" si="14"/>
        <v>#VALUE!</v>
      </c>
      <c r="V19" s="96" t="e">
        <f t="shared" ca="1" si="15"/>
        <v>#VALUE!</v>
      </c>
      <c r="W19" s="90" t="e">
        <f t="shared" ca="1" si="16"/>
        <v>#VALUE!</v>
      </c>
      <c r="X19" s="91" t="e">
        <f t="shared" ca="1" si="17"/>
        <v>#VALUE!</v>
      </c>
      <c r="Y19" s="95" t="e">
        <f t="shared" ca="1" si="18"/>
        <v>#VALUE!</v>
      </c>
      <c r="Z19" s="96" t="e">
        <f t="shared" ca="1" si="19"/>
        <v>#VALUE!</v>
      </c>
      <c r="AA19" s="90" t="e">
        <f t="shared" ca="1" si="20"/>
        <v>#VALUE!</v>
      </c>
      <c r="AB19" s="91" t="e">
        <f t="shared" ca="1" si="21"/>
        <v>#VALUE!</v>
      </c>
      <c r="AC19" s="95" t="e">
        <f t="shared" ca="1" si="22"/>
        <v>#VALUE!</v>
      </c>
      <c r="AD19" s="96" t="e">
        <f t="shared" ca="1" si="23"/>
        <v>#VALUE!</v>
      </c>
      <c r="AE19" s="90" t="e">
        <f t="shared" ca="1" si="1"/>
        <v>#VALUE!</v>
      </c>
      <c r="AF19" s="91" t="e">
        <f t="shared" ca="1" si="24"/>
        <v>#VALUE!</v>
      </c>
    </row>
    <row r="20" spans="2:32" s="76" customFormat="1" ht="24.75" customHeight="1">
      <c r="B20" s="633"/>
      <c r="C20" s="85">
        <v>17</v>
      </c>
      <c r="D20" s="174"/>
      <c r="E20" s="79"/>
      <c r="F20" s="173"/>
      <c r="G20" s="448">
        <f t="shared" ca="1" si="0"/>
        <v>0</v>
      </c>
      <c r="H20" s="239" t="e">
        <f t="shared" ca="1" si="25"/>
        <v>#DIV/0!</v>
      </c>
      <c r="I20" s="88" t="e">
        <f t="shared" ca="1" si="2"/>
        <v>#VALUE!</v>
      </c>
      <c r="J20" s="94" t="e">
        <f t="shared" ca="1" si="3"/>
        <v>#VALUE!</v>
      </c>
      <c r="K20" s="90" t="e">
        <f t="shared" ca="1" si="4"/>
        <v>#VALUE!</v>
      </c>
      <c r="L20" s="91" t="e">
        <f t="shared" ca="1" si="5"/>
        <v>#VALUE!</v>
      </c>
      <c r="M20" s="92" t="e">
        <f t="shared" ca="1" si="6"/>
        <v>#VALUE!</v>
      </c>
      <c r="N20" s="94" t="e">
        <f t="shared" ca="1" si="7"/>
        <v>#VALUE!</v>
      </c>
      <c r="O20" s="90" t="e">
        <f t="shared" ca="1" si="8"/>
        <v>#VALUE!</v>
      </c>
      <c r="P20" s="91" t="e">
        <f t="shared" ca="1" si="9"/>
        <v>#VALUE!</v>
      </c>
      <c r="Q20" s="92" t="e">
        <f t="shared" ca="1" si="10"/>
        <v>#VALUE!</v>
      </c>
      <c r="R20" s="94" t="e">
        <f t="shared" ca="1" si="11"/>
        <v>#VALUE!</v>
      </c>
      <c r="S20" s="90" t="e">
        <f t="shared" ca="1" si="12"/>
        <v>#VALUE!</v>
      </c>
      <c r="T20" s="91" t="e">
        <f t="shared" ca="1" si="13"/>
        <v>#VALUE!</v>
      </c>
      <c r="U20" s="95" t="e">
        <f t="shared" ca="1" si="14"/>
        <v>#VALUE!</v>
      </c>
      <c r="V20" s="96" t="e">
        <f t="shared" ca="1" si="15"/>
        <v>#VALUE!</v>
      </c>
      <c r="W20" s="90" t="e">
        <f t="shared" ca="1" si="16"/>
        <v>#VALUE!</v>
      </c>
      <c r="X20" s="91" t="e">
        <f t="shared" ca="1" si="17"/>
        <v>#VALUE!</v>
      </c>
      <c r="Y20" s="95" t="e">
        <f t="shared" ca="1" si="18"/>
        <v>#VALUE!</v>
      </c>
      <c r="Z20" s="96" t="e">
        <f t="shared" ca="1" si="19"/>
        <v>#VALUE!</v>
      </c>
      <c r="AA20" s="90" t="e">
        <f t="shared" ca="1" si="20"/>
        <v>#VALUE!</v>
      </c>
      <c r="AB20" s="91" t="e">
        <f t="shared" ca="1" si="21"/>
        <v>#VALUE!</v>
      </c>
      <c r="AC20" s="95" t="e">
        <f t="shared" ca="1" si="22"/>
        <v>#VALUE!</v>
      </c>
      <c r="AD20" s="96" t="e">
        <f t="shared" ca="1" si="23"/>
        <v>#VALUE!</v>
      </c>
      <c r="AE20" s="90" t="e">
        <f t="shared" ca="1" si="1"/>
        <v>#VALUE!</v>
      </c>
      <c r="AF20" s="91" t="e">
        <f t="shared" ca="1" si="24"/>
        <v>#VALUE!</v>
      </c>
    </row>
    <row r="21" spans="2:32" s="76" customFormat="1" ht="24.75" customHeight="1">
      <c r="B21" s="633"/>
      <c r="C21" s="85">
        <v>18</v>
      </c>
      <c r="D21" s="174"/>
      <c r="E21" s="79"/>
      <c r="F21" s="77"/>
      <c r="G21" s="448">
        <f t="shared" ca="1" si="0"/>
        <v>0</v>
      </c>
      <c r="H21" s="239" t="e">
        <f t="shared" ca="1" si="25"/>
        <v>#DIV/0!</v>
      </c>
      <c r="I21" s="88" t="e">
        <f t="shared" ca="1" si="2"/>
        <v>#VALUE!</v>
      </c>
      <c r="J21" s="94" t="e">
        <f t="shared" ca="1" si="3"/>
        <v>#VALUE!</v>
      </c>
      <c r="K21" s="90" t="e">
        <f t="shared" ca="1" si="4"/>
        <v>#VALUE!</v>
      </c>
      <c r="L21" s="91" t="e">
        <f t="shared" ca="1" si="5"/>
        <v>#VALUE!</v>
      </c>
      <c r="M21" s="92" t="e">
        <f t="shared" ca="1" si="6"/>
        <v>#VALUE!</v>
      </c>
      <c r="N21" s="94" t="e">
        <f t="shared" ca="1" si="7"/>
        <v>#VALUE!</v>
      </c>
      <c r="O21" s="90" t="e">
        <f t="shared" ca="1" si="8"/>
        <v>#VALUE!</v>
      </c>
      <c r="P21" s="91" t="e">
        <f t="shared" ca="1" si="9"/>
        <v>#VALUE!</v>
      </c>
      <c r="Q21" s="92" t="e">
        <f t="shared" ca="1" si="10"/>
        <v>#VALUE!</v>
      </c>
      <c r="R21" s="94" t="e">
        <f t="shared" ca="1" si="11"/>
        <v>#VALUE!</v>
      </c>
      <c r="S21" s="90" t="e">
        <f t="shared" ca="1" si="12"/>
        <v>#VALUE!</v>
      </c>
      <c r="T21" s="91" t="e">
        <f t="shared" ca="1" si="13"/>
        <v>#VALUE!</v>
      </c>
      <c r="U21" s="95" t="e">
        <f t="shared" ca="1" si="14"/>
        <v>#VALUE!</v>
      </c>
      <c r="V21" s="96" t="e">
        <f t="shared" ca="1" si="15"/>
        <v>#VALUE!</v>
      </c>
      <c r="W21" s="90" t="e">
        <f t="shared" ca="1" si="16"/>
        <v>#VALUE!</v>
      </c>
      <c r="X21" s="91" t="e">
        <f t="shared" ca="1" si="17"/>
        <v>#VALUE!</v>
      </c>
      <c r="Y21" s="95" t="e">
        <f t="shared" ca="1" si="18"/>
        <v>#VALUE!</v>
      </c>
      <c r="Z21" s="96" t="e">
        <f t="shared" ca="1" si="19"/>
        <v>#VALUE!</v>
      </c>
      <c r="AA21" s="90" t="e">
        <f t="shared" ca="1" si="20"/>
        <v>#VALUE!</v>
      </c>
      <c r="AB21" s="91" t="e">
        <f t="shared" ca="1" si="21"/>
        <v>#VALUE!</v>
      </c>
      <c r="AC21" s="95" t="e">
        <f t="shared" ca="1" si="22"/>
        <v>#VALUE!</v>
      </c>
      <c r="AD21" s="96" t="e">
        <f t="shared" ca="1" si="23"/>
        <v>#VALUE!</v>
      </c>
      <c r="AE21" s="90" t="e">
        <f t="shared" ca="1" si="1"/>
        <v>#VALUE!</v>
      </c>
      <c r="AF21" s="91" t="e">
        <f t="shared" ca="1" si="24"/>
        <v>#VALUE!</v>
      </c>
    </row>
    <row r="22" spans="2:32" s="76" customFormat="1" ht="24.75" customHeight="1">
      <c r="B22" s="633"/>
      <c r="C22" s="85">
        <v>19</v>
      </c>
      <c r="D22" s="174"/>
      <c r="E22" s="79"/>
      <c r="F22" s="173"/>
      <c r="G22" s="448">
        <f t="shared" ca="1" si="0"/>
        <v>0</v>
      </c>
      <c r="H22" s="239" t="e">
        <f t="shared" ca="1" si="25"/>
        <v>#DIV/0!</v>
      </c>
      <c r="I22" s="88" t="e">
        <f t="shared" ca="1" si="2"/>
        <v>#VALUE!</v>
      </c>
      <c r="J22" s="94" t="e">
        <f t="shared" ca="1" si="3"/>
        <v>#VALUE!</v>
      </c>
      <c r="K22" s="90" t="e">
        <f t="shared" ca="1" si="4"/>
        <v>#VALUE!</v>
      </c>
      <c r="L22" s="91" t="e">
        <f t="shared" ca="1" si="5"/>
        <v>#VALUE!</v>
      </c>
      <c r="M22" s="92" t="e">
        <f t="shared" ca="1" si="6"/>
        <v>#VALUE!</v>
      </c>
      <c r="N22" s="94" t="e">
        <f t="shared" ca="1" si="7"/>
        <v>#VALUE!</v>
      </c>
      <c r="O22" s="90" t="e">
        <f t="shared" ca="1" si="8"/>
        <v>#VALUE!</v>
      </c>
      <c r="P22" s="91" t="e">
        <f t="shared" ca="1" si="9"/>
        <v>#VALUE!</v>
      </c>
      <c r="Q22" s="92" t="e">
        <f t="shared" ca="1" si="10"/>
        <v>#VALUE!</v>
      </c>
      <c r="R22" s="94" t="e">
        <f t="shared" ca="1" si="11"/>
        <v>#VALUE!</v>
      </c>
      <c r="S22" s="90" t="e">
        <f t="shared" ca="1" si="12"/>
        <v>#VALUE!</v>
      </c>
      <c r="T22" s="91" t="e">
        <f t="shared" ca="1" si="13"/>
        <v>#VALUE!</v>
      </c>
      <c r="U22" s="95" t="e">
        <f t="shared" ca="1" si="14"/>
        <v>#VALUE!</v>
      </c>
      <c r="V22" s="96" t="e">
        <f t="shared" ca="1" si="15"/>
        <v>#VALUE!</v>
      </c>
      <c r="W22" s="90" t="e">
        <f t="shared" ca="1" si="16"/>
        <v>#VALUE!</v>
      </c>
      <c r="X22" s="91" t="e">
        <f t="shared" ca="1" si="17"/>
        <v>#VALUE!</v>
      </c>
      <c r="Y22" s="95" t="e">
        <f t="shared" ca="1" si="18"/>
        <v>#VALUE!</v>
      </c>
      <c r="Z22" s="96" t="e">
        <f t="shared" ca="1" si="19"/>
        <v>#VALUE!</v>
      </c>
      <c r="AA22" s="90" t="e">
        <f t="shared" ca="1" si="20"/>
        <v>#VALUE!</v>
      </c>
      <c r="AB22" s="91" t="e">
        <f t="shared" ca="1" si="21"/>
        <v>#VALUE!</v>
      </c>
      <c r="AC22" s="95" t="e">
        <f t="shared" ca="1" si="22"/>
        <v>#VALUE!</v>
      </c>
      <c r="AD22" s="96" t="e">
        <f t="shared" ca="1" si="23"/>
        <v>#VALUE!</v>
      </c>
      <c r="AE22" s="90" t="e">
        <f t="shared" ca="1" si="1"/>
        <v>#VALUE!</v>
      </c>
      <c r="AF22" s="91" t="e">
        <f t="shared" ca="1" si="24"/>
        <v>#VALUE!</v>
      </c>
    </row>
    <row r="23" spans="2:32" s="76" customFormat="1" ht="24.75" customHeight="1">
      <c r="B23" s="633"/>
      <c r="C23" s="85">
        <v>20</v>
      </c>
      <c r="D23" s="174"/>
      <c r="E23" s="79"/>
      <c r="F23" s="173"/>
      <c r="G23" s="448">
        <f t="shared" ca="1" si="0"/>
        <v>0</v>
      </c>
      <c r="H23" s="239" t="e">
        <f ca="1">G23/$G$56</f>
        <v>#DIV/0!</v>
      </c>
      <c r="I23" s="88" t="e">
        <f t="shared" ca="1" si="2"/>
        <v>#VALUE!</v>
      </c>
      <c r="J23" s="94" t="e">
        <f t="shared" ca="1" si="3"/>
        <v>#VALUE!</v>
      </c>
      <c r="K23" s="90" t="e">
        <f t="shared" ca="1" si="4"/>
        <v>#VALUE!</v>
      </c>
      <c r="L23" s="91" t="e">
        <f t="shared" ca="1" si="5"/>
        <v>#VALUE!</v>
      </c>
      <c r="M23" s="92" t="e">
        <f t="shared" ca="1" si="6"/>
        <v>#VALUE!</v>
      </c>
      <c r="N23" s="94" t="e">
        <f t="shared" ca="1" si="7"/>
        <v>#VALUE!</v>
      </c>
      <c r="O23" s="90" t="e">
        <f t="shared" ca="1" si="8"/>
        <v>#VALUE!</v>
      </c>
      <c r="P23" s="91" t="e">
        <f t="shared" ca="1" si="9"/>
        <v>#VALUE!</v>
      </c>
      <c r="Q23" s="92" t="e">
        <f t="shared" ca="1" si="10"/>
        <v>#VALUE!</v>
      </c>
      <c r="R23" s="94" t="e">
        <f t="shared" ca="1" si="11"/>
        <v>#VALUE!</v>
      </c>
      <c r="S23" s="90" t="e">
        <f t="shared" ca="1" si="12"/>
        <v>#VALUE!</v>
      </c>
      <c r="T23" s="91" t="e">
        <f t="shared" ca="1" si="13"/>
        <v>#VALUE!</v>
      </c>
      <c r="U23" s="95" t="e">
        <f t="shared" ca="1" si="14"/>
        <v>#VALUE!</v>
      </c>
      <c r="V23" s="96" t="e">
        <f t="shared" ca="1" si="15"/>
        <v>#VALUE!</v>
      </c>
      <c r="W23" s="90" t="e">
        <f t="shared" ca="1" si="16"/>
        <v>#VALUE!</v>
      </c>
      <c r="X23" s="91" t="e">
        <f t="shared" ca="1" si="17"/>
        <v>#VALUE!</v>
      </c>
      <c r="Y23" s="95" t="e">
        <f t="shared" ca="1" si="18"/>
        <v>#VALUE!</v>
      </c>
      <c r="Z23" s="96" t="e">
        <f t="shared" ca="1" si="19"/>
        <v>#VALUE!</v>
      </c>
      <c r="AA23" s="90" t="e">
        <f t="shared" ca="1" si="20"/>
        <v>#VALUE!</v>
      </c>
      <c r="AB23" s="91" t="e">
        <f t="shared" ca="1" si="21"/>
        <v>#VALUE!</v>
      </c>
      <c r="AC23" s="95" t="e">
        <f t="shared" ca="1" si="22"/>
        <v>#VALUE!</v>
      </c>
      <c r="AD23" s="96" t="e">
        <f t="shared" ca="1" si="23"/>
        <v>#VALUE!</v>
      </c>
      <c r="AE23" s="90" t="e">
        <f t="shared" ca="1" si="1"/>
        <v>#VALUE!</v>
      </c>
      <c r="AF23" s="91" t="e">
        <f t="shared" ca="1" si="24"/>
        <v>#VALUE!</v>
      </c>
    </row>
    <row r="24" spans="2:32" s="76" customFormat="1" ht="24.75" customHeight="1">
      <c r="B24" s="633"/>
      <c r="C24" s="85">
        <v>21</v>
      </c>
      <c r="D24" s="174"/>
      <c r="E24" s="79"/>
      <c r="F24" s="173"/>
      <c r="G24" s="448">
        <f t="shared" ca="1" si="0"/>
        <v>0</v>
      </c>
      <c r="H24" s="239" t="e">
        <f t="shared" ca="1" si="25"/>
        <v>#DIV/0!</v>
      </c>
      <c r="I24" s="88" t="e">
        <f t="shared" ca="1" si="2"/>
        <v>#VALUE!</v>
      </c>
      <c r="J24" s="94" t="e">
        <f t="shared" ca="1" si="3"/>
        <v>#VALUE!</v>
      </c>
      <c r="K24" s="90" t="e">
        <f t="shared" ca="1" si="4"/>
        <v>#VALUE!</v>
      </c>
      <c r="L24" s="91" t="e">
        <f t="shared" ca="1" si="5"/>
        <v>#VALUE!</v>
      </c>
      <c r="M24" s="92" t="e">
        <f t="shared" ca="1" si="6"/>
        <v>#VALUE!</v>
      </c>
      <c r="N24" s="94" t="e">
        <f t="shared" ca="1" si="7"/>
        <v>#VALUE!</v>
      </c>
      <c r="O24" s="90" t="e">
        <f t="shared" ca="1" si="8"/>
        <v>#VALUE!</v>
      </c>
      <c r="P24" s="91" t="e">
        <f t="shared" ca="1" si="9"/>
        <v>#VALUE!</v>
      </c>
      <c r="Q24" s="92" t="e">
        <f t="shared" ca="1" si="10"/>
        <v>#VALUE!</v>
      </c>
      <c r="R24" s="94" t="e">
        <f t="shared" ca="1" si="11"/>
        <v>#VALUE!</v>
      </c>
      <c r="S24" s="90" t="e">
        <f t="shared" ca="1" si="12"/>
        <v>#VALUE!</v>
      </c>
      <c r="T24" s="91" t="e">
        <f t="shared" ca="1" si="13"/>
        <v>#VALUE!</v>
      </c>
      <c r="U24" s="95" t="e">
        <f t="shared" ca="1" si="14"/>
        <v>#VALUE!</v>
      </c>
      <c r="V24" s="96" t="e">
        <f t="shared" ca="1" si="15"/>
        <v>#VALUE!</v>
      </c>
      <c r="W24" s="90" t="e">
        <f t="shared" ca="1" si="16"/>
        <v>#VALUE!</v>
      </c>
      <c r="X24" s="91" t="e">
        <f t="shared" ca="1" si="17"/>
        <v>#VALUE!</v>
      </c>
      <c r="Y24" s="95" t="e">
        <f t="shared" ca="1" si="18"/>
        <v>#VALUE!</v>
      </c>
      <c r="Z24" s="96" t="e">
        <f t="shared" ca="1" si="19"/>
        <v>#VALUE!</v>
      </c>
      <c r="AA24" s="90" t="e">
        <f t="shared" ca="1" si="20"/>
        <v>#VALUE!</v>
      </c>
      <c r="AB24" s="91" t="e">
        <f t="shared" ca="1" si="21"/>
        <v>#VALUE!</v>
      </c>
      <c r="AC24" s="95" t="e">
        <f t="shared" ca="1" si="22"/>
        <v>#VALUE!</v>
      </c>
      <c r="AD24" s="96" t="e">
        <f t="shared" ca="1" si="23"/>
        <v>#VALUE!</v>
      </c>
      <c r="AE24" s="90" t="e">
        <f t="shared" ca="1" si="1"/>
        <v>#VALUE!</v>
      </c>
      <c r="AF24" s="91" t="e">
        <f t="shared" ca="1" si="24"/>
        <v>#VALUE!</v>
      </c>
    </row>
    <row r="25" spans="2:32" s="76" customFormat="1" ht="24.75" customHeight="1">
      <c r="B25" s="633"/>
      <c r="C25" s="85">
        <v>22</v>
      </c>
      <c r="D25" s="174"/>
      <c r="E25" s="79"/>
      <c r="F25" s="173"/>
      <c r="G25" s="448">
        <f t="shared" ca="1" si="0"/>
        <v>0</v>
      </c>
      <c r="H25" s="239" t="e">
        <f t="shared" ca="1" si="25"/>
        <v>#DIV/0!</v>
      </c>
      <c r="I25" s="88" t="e">
        <f t="shared" ca="1" si="2"/>
        <v>#VALUE!</v>
      </c>
      <c r="J25" s="94" t="e">
        <f t="shared" ca="1" si="3"/>
        <v>#VALUE!</v>
      </c>
      <c r="K25" s="90" t="e">
        <f t="shared" ca="1" si="4"/>
        <v>#VALUE!</v>
      </c>
      <c r="L25" s="91" t="e">
        <f t="shared" ca="1" si="5"/>
        <v>#VALUE!</v>
      </c>
      <c r="M25" s="92" t="e">
        <f t="shared" ca="1" si="6"/>
        <v>#VALUE!</v>
      </c>
      <c r="N25" s="94" t="e">
        <f t="shared" ca="1" si="7"/>
        <v>#VALUE!</v>
      </c>
      <c r="O25" s="90" t="e">
        <f t="shared" ca="1" si="8"/>
        <v>#VALUE!</v>
      </c>
      <c r="P25" s="91" t="e">
        <f t="shared" ca="1" si="9"/>
        <v>#VALUE!</v>
      </c>
      <c r="Q25" s="92" t="e">
        <f t="shared" ca="1" si="10"/>
        <v>#VALUE!</v>
      </c>
      <c r="R25" s="94" t="e">
        <f t="shared" ca="1" si="11"/>
        <v>#VALUE!</v>
      </c>
      <c r="S25" s="90" t="e">
        <f t="shared" ca="1" si="12"/>
        <v>#VALUE!</v>
      </c>
      <c r="T25" s="91" t="e">
        <f t="shared" ca="1" si="13"/>
        <v>#VALUE!</v>
      </c>
      <c r="U25" s="95" t="e">
        <f t="shared" ca="1" si="14"/>
        <v>#VALUE!</v>
      </c>
      <c r="V25" s="96" t="e">
        <f t="shared" ca="1" si="15"/>
        <v>#VALUE!</v>
      </c>
      <c r="W25" s="90" t="e">
        <f t="shared" ca="1" si="16"/>
        <v>#VALUE!</v>
      </c>
      <c r="X25" s="91" t="e">
        <f t="shared" ca="1" si="17"/>
        <v>#VALUE!</v>
      </c>
      <c r="Y25" s="95" t="e">
        <f t="shared" ca="1" si="18"/>
        <v>#VALUE!</v>
      </c>
      <c r="Z25" s="96" t="e">
        <f t="shared" ca="1" si="19"/>
        <v>#VALUE!</v>
      </c>
      <c r="AA25" s="90" t="e">
        <f t="shared" ca="1" si="20"/>
        <v>#VALUE!</v>
      </c>
      <c r="AB25" s="91" t="e">
        <f t="shared" ca="1" si="21"/>
        <v>#VALUE!</v>
      </c>
      <c r="AC25" s="95" t="e">
        <f t="shared" ca="1" si="22"/>
        <v>#VALUE!</v>
      </c>
      <c r="AD25" s="96" t="e">
        <f t="shared" ca="1" si="23"/>
        <v>#VALUE!</v>
      </c>
      <c r="AE25" s="90" t="e">
        <f t="shared" ca="1" si="1"/>
        <v>#VALUE!</v>
      </c>
      <c r="AF25" s="91" t="e">
        <f t="shared" ca="1" si="24"/>
        <v>#VALUE!</v>
      </c>
    </row>
    <row r="26" spans="2:32" s="76" customFormat="1" ht="24.75" customHeight="1">
      <c r="B26" s="633"/>
      <c r="C26" s="85">
        <v>23</v>
      </c>
      <c r="D26" s="174"/>
      <c r="E26" s="79"/>
      <c r="F26" s="173"/>
      <c r="G26" s="448">
        <f t="shared" ca="1" si="0"/>
        <v>0</v>
      </c>
      <c r="H26" s="239" t="e">
        <f t="shared" ca="1" si="25"/>
        <v>#DIV/0!</v>
      </c>
      <c r="I26" s="88" t="e">
        <f t="shared" ca="1" si="2"/>
        <v>#VALUE!</v>
      </c>
      <c r="J26" s="94" t="e">
        <f t="shared" ca="1" si="3"/>
        <v>#VALUE!</v>
      </c>
      <c r="K26" s="90" t="e">
        <f t="shared" ca="1" si="4"/>
        <v>#VALUE!</v>
      </c>
      <c r="L26" s="91" t="e">
        <f t="shared" ca="1" si="5"/>
        <v>#VALUE!</v>
      </c>
      <c r="M26" s="92" t="e">
        <f t="shared" ca="1" si="6"/>
        <v>#VALUE!</v>
      </c>
      <c r="N26" s="94" t="e">
        <f t="shared" ca="1" si="7"/>
        <v>#VALUE!</v>
      </c>
      <c r="O26" s="90" t="e">
        <f t="shared" ca="1" si="8"/>
        <v>#VALUE!</v>
      </c>
      <c r="P26" s="91" t="e">
        <f t="shared" ca="1" si="9"/>
        <v>#VALUE!</v>
      </c>
      <c r="Q26" s="92" t="e">
        <f t="shared" ca="1" si="10"/>
        <v>#VALUE!</v>
      </c>
      <c r="R26" s="94" t="e">
        <f t="shared" ca="1" si="11"/>
        <v>#VALUE!</v>
      </c>
      <c r="S26" s="90" t="e">
        <f t="shared" ca="1" si="12"/>
        <v>#VALUE!</v>
      </c>
      <c r="T26" s="91" t="e">
        <f t="shared" ca="1" si="13"/>
        <v>#VALUE!</v>
      </c>
      <c r="U26" s="95" t="e">
        <f t="shared" ca="1" si="14"/>
        <v>#VALUE!</v>
      </c>
      <c r="V26" s="96" t="e">
        <f t="shared" ca="1" si="15"/>
        <v>#VALUE!</v>
      </c>
      <c r="W26" s="90" t="e">
        <f t="shared" ca="1" si="16"/>
        <v>#VALUE!</v>
      </c>
      <c r="X26" s="91" t="e">
        <f t="shared" ca="1" si="17"/>
        <v>#VALUE!</v>
      </c>
      <c r="Y26" s="95" t="e">
        <f t="shared" ca="1" si="18"/>
        <v>#VALUE!</v>
      </c>
      <c r="Z26" s="96" t="e">
        <f t="shared" ca="1" si="19"/>
        <v>#VALUE!</v>
      </c>
      <c r="AA26" s="90" t="e">
        <f t="shared" ca="1" si="20"/>
        <v>#VALUE!</v>
      </c>
      <c r="AB26" s="91" t="e">
        <f t="shared" ca="1" si="21"/>
        <v>#VALUE!</v>
      </c>
      <c r="AC26" s="95" t="e">
        <f t="shared" ca="1" si="22"/>
        <v>#VALUE!</v>
      </c>
      <c r="AD26" s="96" t="e">
        <f t="shared" ca="1" si="23"/>
        <v>#VALUE!</v>
      </c>
      <c r="AE26" s="90" t="e">
        <f t="shared" ca="1" si="1"/>
        <v>#VALUE!</v>
      </c>
      <c r="AF26" s="91" t="e">
        <f t="shared" ca="1" si="24"/>
        <v>#VALUE!</v>
      </c>
    </row>
    <row r="27" spans="2:32" s="76" customFormat="1" ht="24.75" customHeight="1">
      <c r="B27" s="633"/>
      <c r="C27" s="85">
        <v>24</v>
      </c>
      <c r="D27" s="174"/>
      <c r="E27" s="79"/>
      <c r="F27" s="173"/>
      <c r="G27" s="448">
        <f t="shared" ca="1" si="0"/>
        <v>0</v>
      </c>
      <c r="H27" s="239" t="e">
        <f t="shared" ca="1" si="25"/>
        <v>#DIV/0!</v>
      </c>
      <c r="I27" s="88" t="e">
        <f t="shared" ca="1" si="2"/>
        <v>#VALUE!</v>
      </c>
      <c r="J27" s="94" t="e">
        <f t="shared" ca="1" si="3"/>
        <v>#VALUE!</v>
      </c>
      <c r="K27" s="90" t="e">
        <f t="shared" ca="1" si="4"/>
        <v>#VALUE!</v>
      </c>
      <c r="L27" s="91" t="e">
        <f t="shared" ca="1" si="5"/>
        <v>#VALUE!</v>
      </c>
      <c r="M27" s="92" t="e">
        <f t="shared" ca="1" si="6"/>
        <v>#VALUE!</v>
      </c>
      <c r="N27" s="94" t="e">
        <f t="shared" ca="1" si="7"/>
        <v>#VALUE!</v>
      </c>
      <c r="O27" s="90" t="e">
        <f t="shared" ca="1" si="8"/>
        <v>#VALUE!</v>
      </c>
      <c r="P27" s="91" t="e">
        <f t="shared" ca="1" si="9"/>
        <v>#VALUE!</v>
      </c>
      <c r="Q27" s="92" t="e">
        <f t="shared" ca="1" si="10"/>
        <v>#VALUE!</v>
      </c>
      <c r="R27" s="94" t="e">
        <f t="shared" ca="1" si="11"/>
        <v>#VALUE!</v>
      </c>
      <c r="S27" s="90" t="e">
        <f t="shared" ca="1" si="12"/>
        <v>#VALUE!</v>
      </c>
      <c r="T27" s="91" t="e">
        <f t="shared" ca="1" si="13"/>
        <v>#VALUE!</v>
      </c>
      <c r="U27" s="95" t="e">
        <f t="shared" ca="1" si="14"/>
        <v>#VALUE!</v>
      </c>
      <c r="V27" s="96" t="e">
        <f t="shared" ca="1" si="15"/>
        <v>#VALUE!</v>
      </c>
      <c r="W27" s="90" t="e">
        <f t="shared" ca="1" si="16"/>
        <v>#VALUE!</v>
      </c>
      <c r="X27" s="91" t="e">
        <f t="shared" ca="1" si="17"/>
        <v>#VALUE!</v>
      </c>
      <c r="Y27" s="95" t="e">
        <f t="shared" ca="1" si="18"/>
        <v>#VALUE!</v>
      </c>
      <c r="Z27" s="96" t="e">
        <f t="shared" ca="1" si="19"/>
        <v>#VALUE!</v>
      </c>
      <c r="AA27" s="90" t="e">
        <f t="shared" ca="1" si="20"/>
        <v>#VALUE!</v>
      </c>
      <c r="AB27" s="91" t="e">
        <f t="shared" ca="1" si="21"/>
        <v>#VALUE!</v>
      </c>
      <c r="AC27" s="95" t="e">
        <f t="shared" ca="1" si="22"/>
        <v>#VALUE!</v>
      </c>
      <c r="AD27" s="96" t="e">
        <f t="shared" ca="1" si="23"/>
        <v>#VALUE!</v>
      </c>
      <c r="AE27" s="90" t="e">
        <f t="shared" ca="1" si="1"/>
        <v>#VALUE!</v>
      </c>
      <c r="AF27" s="91" t="e">
        <f t="shared" ca="1" si="24"/>
        <v>#VALUE!</v>
      </c>
    </row>
    <row r="28" spans="2:32" s="76" customFormat="1" ht="24.75" customHeight="1">
      <c r="B28" s="633"/>
      <c r="C28" s="85">
        <v>25</v>
      </c>
      <c r="D28" s="174"/>
      <c r="E28" s="79"/>
      <c r="F28" s="173"/>
      <c r="G28" s="448">
        <f t="shared" ca="1" si="0"/>
        <v>0</v>
      </c>
      <c r="H28" s="239" t="e">
        <f t="shared" ca="1" si="25"/>
        <v>#DIV/0!</v>
      </c>
      <c r="I28" s="88" t="e">
        <f t="shared" ca="1" si="2"/>
        <v>#VALUE!</v>
      </c>
      <c r="J28" s="94" t="e">
        <f t="shared" ca="1" si="3"/>
        <v>#VALUE!</v>
      </c>
      <c r="K28" s="90" t="e">
        <f t="shared" ca="1" si="4"/>
        <v>#VALUE!</v>
      </c>
      <c r="L28" s="91" t="e">
        <f t="shared" ca="1" si="5"/>
        <v>#VALUE!</v>
      </c>
      <c r="M28" s="92" t="e">
        <f t="shared" ca="1" si="6"/>
        <v>#VALUE!</v>
      </c>
      <c r="N28" s="94" t="e">
        <f t="shared" ca="1" si="7"/>
        <v>#VALUE!</v>
      </c>
      <c r="O28" s="90" t="e">
        <f t="shared" ca="1" si="8"/>
        <v>#VALUE!</v>
      </c>
      <c r="P28" s="91" t="e">
        <f t="shared" ca="1" si="9"/>
        <v>#VALUE!</v>
      </c>
      <c r="Q28" s="92" t="e">
        <f t="shared" ca="1" si="10"/>
        <v>#VALUE!</v>
      </c>
      <c r="R28" s="94" t="e">
        <f t="shared" ca="1" si="11"/>
        <v>#VALUE!</v>
      </c>
      <c r="S28" s="90" t="e">
        <f t="shared" ca="1" si="12"/>
        <v>#VALUE!</v>
      </c>
      <c r="T28" s="91" t="e">
        <f t="shared" ca="1" si="13"/>
        <v>#VALUE!</v>
      </c>
      <c r="U28" s="95" t="e">
        <f t="shared" ca="1" si="14"/>
        <v>#VALUE!</v>
      </c>
      <c r="V28" s="96" t="e">
        <f t="shared" ca="1" si="15"/>
        <v>#VALUE!</v>
      </c>
      <c r="W28" s="90" t="e">
        <f t="shared" ca="1" si="16"/>
        <v>#VALUE!</v>
      </c>
      <c r="X28" s="91" t="e">
        <f t="shared" ca="1" si="17"/>
        <v>#VALUE!</v>
      </c>
      <c r="Y28" s="95" t="e">
        <f t="shared" ca="1" si="18"/>
        <v>#VALUE!</v>
      </c>
      <c r="Z28" s="96" t="e">
        <f t="shared" ca="1" si="19"/>
        <v>#VALUE!</v>
      </c>
      <c r="AA28" s="90" t="e">
        <f t="shared" ca="1" si="20"/>
        <v>#VALUE!</v>
      </c>
      <c r="AB28" s="91" t="e">
        <f t="shared" ca="1" si="21"/>
        <v>#VALUE!</v>
      </c>
      <c r="AC28" s="95" t="e">
        <f t="shared" ca="1" si="22"/>
        <v>#VALUE!</v>
      </c>
      <c r="AD28" s="96" t="e">
        <f t="shared" ca="1" si="23"/>
        <v>#VALUE!</v>
      </c>
      <c r="AE28" s="90" t="e">
        <f t="shared" ca="1" si="1"/>
        <v>#VALUE!</v>
      </c>
      <c r="AF28" s="91" t="e">
        <f t="shared" ca="1" si="24"/>
        <v>#VALUE!</v>
      </c>
    </row>
    <row r="29" spans="2:32" s="76" customFormat="1" ht="24.75" customHeight="1">
      <c r="B29" s="633"/>
      <c r="C29" s="85">
        <v>26</v>
      </c>
      <c r="D29" s="174"/>
      <c r="E29" s="79"/>
      <c r="F29" s="173"/>
      <c r="G29" s="448">
        <f t="shared" ca="1" si="0"/>
        <v>0</v>
      </c>
      <c r="H29" s="239" t="e">
        <f t="shared" ca="1" si="25"/>
        <v>#DIV/0!</v>
      </c>
      <c r="I29" s="88" t="e">
        <f t="shared" ca="1" si="2"/>
        <v>#VALUE!</v>
      </c>
      <c r="J29" s="94" t="e">
        <f t="shared" ca="1" si="3"/>
        <v>#VALUE!</v>
      </c>
      <c r="K29" s="90" t="e">
        <f t="shared" ca="1" si="4"/>
        <v>#VALUE!</v>
      </c>
      <c r="L29" s="91" t="e">
        <f t="shared" ca="1" si="5"/>
        <v>#VALUE!</v>
      </c>
      <c r="M29" s="92" t="e">
        <f t="shared" ca="1" si="6"/>
        <v>#VALUE!</v>
      </c>
      <c r="N29" s="94" t="e">
        <f t="shared" ca="1" si="7"/>
        <v>#VALUE!</v>
      </c>
      <c r="O29" s="90" t="e">
        <f t="shared" ca="1" si="8"/>
        <v>#VALUE!</v>
      </c>
      <c r="P29" s="91" t="e">
        <f t="shared" ca="1" si="9"/>
        <v>#VALUE!</v>
      </c>
      <c r="Q29" s="92" t="e">
        <f t="shared" ca="1" si="10"/>
        <v>#VALUE!</v>
      </c>
      <c r="R29" s="94" t="e">
        <f t="shared" ca="1" si="11"/>
        <v>#VALUE!</v>
      </c>
      <c r="S29" s="90" t="e">
        <f t="shared" ca="1" si="12"/>
        <v>#VALUE!</v>
      </c>
      <c r="T29" s="91" t="e">
        <f t="shared" ca="1" si="13"/>
        <v>#VALUE!</v>
      </c>
      <c r="U29" s="95" t="e">
        <f t="shared" ca="1" si="14"/>
        <v>#VALUE!</v>
      </c>
      <c r="V29" s="96" t="e">
        <f t="shared" ca="1" si="15"/>
        <v>#VALUE!</v>
      </c>
      <c r="W29" s="90" t="e">
        <f t="shared" ca="1" si="16"/>
        <v>#VALUE!</v>
      </c>
      <c r="X29" s="91" t="e">
        <f t="shared" ca="1" si="17"/>
        <v>#VALUE!</v>
      </c>
      <c r="Y29" s="95" t="e">
        <f t="shared" ca="1" si="18"/>
        <v>#VALUE!</v>
      </c>
      <c r="Z29" s="96" t="e">
        <f t="shared" ca="1" si="19"/>
        <v>#VALUE!</v>
      </c>
      <c r="AA29" s="90" t="e">
        <f t="shared" ca="1" si="20"/>
        <v>#VALUE!</v>
      </c>
      <c r="AB29" s="91" t="e">
        <f t="shared" ca="1" si="21"/>
        <v>#VALUE!</v>
      </c>
      <c r="AC29" s="95" t="e">
        <f t="shared" ca="1" si="22"/>
        <v>#VALUE!</v>
      </c>
      <c r="AD29" s="96" t="e">
        <f t="shared" ca="1" si="23"/>
        <v>#VALUE!</v>
      </c>
      <c r="AE29" s="90" t="e">
        <f t="shared" ca="1" si="1"/>
        <v>#VALUE!</v>
      </c>
      <c r="AF29" s="91" t="e">
        <f t="shared" ca="1" si="24"/>
        <v>#VALUE!</v>
      </c>
    </row>
    <row r="30" spans="2:32" s="76" customFormat="1" ht="24.75" customHeight="1">
      <c r="B30" s="633"/>
      <c r="C30" s="85">
        <v>27</v>
      </c>
      <c r="D30" s="174"/>
      <c r="E30" s="79"/>
      <c r="F30" s="173"/>
      <c r="G30" s="448">
        <f t="shared" ca="1" si="0"/>
        <v>0</v>
      </c>
      <c r="H30" s="239" t="e">
        <f t="shared" ca="1" si="25"/>
        <v>#DIV/0!</v>
      </c>
      <c r="I30" s="88" t="e">
        <f t="shared" ca="1" si="2"/>
        <v>#VALUE!</v>
      </c>
      <c r="J30" s="94" t="e">
        <f t="shared" ca="1" si="3"/>
        <v>#VALUE!</v>
      </c>
      <c r="K30" s="90" t="e">
        <f t="shared" ca="1" si="4"/>
        <v>#VALUE!</v>
      </c>
      <c r="L30" s="91" t="e">
        <f t="shared" ca="1" si="5"/>
        <v>#VALUE!</v>
      </c>
      <c r="M30" s="92" t="e">
        <f t="shared" ca="1" si="6"/>
        <v>#VALUE!</v>
      </c>
      <c r="N30" s="94" t="e">
        <f t="shared" ca="1" si="7"/>
        <v>#VALUE!</v>
      </c>
      <c r="O30" s="90" t="e">
        <f t="shared" ca="1" si="8"/>
        <v>#VALUE!</v>
      </c>
      <c r="P30" s="91" t="e">
        <f t="shared" ca="1" si="9"/>
        <v>#VALUE!</v>
      </c>
      <c r="Q30" s="92" t="e">
        <f t="shared" ca="1" si="10"/>
        <v>#VALUE!</v>
      </c>
      <c r="R30" s="94" t="e">
        <f t="shared" ca="1" si="11"/>
        <v>#VALUE!</v>
      </c>
      <c r="S30" s="90" t="e">
        <f t="shared" ca="1" si="12"/>
        <v>#VALUE!</v>
      </c>
      <c r="T30" s="91" t="e">
        <f t="shared" ca="1" si="13"/>
        <v>#VALUE!</v>
      </c>
      <c r="U30" s="95" t="e">
        <f t="shared" ca="1" si="14"/>
        <v>#VALUE!</v>
      </c>
      <c r="V30" s="96" t="e">
        <f t="shared" ca="1" si="15"/>
        <v>#VALUE!</v>
      </c>
      <c r="W30" s="90" t="e">
        <f t="shared" ca="1" si="16"/>
        <v>#VALUE!</v>
      </c>
      <c r="X30" s="91" t="e">
        <f t="shared" ca="1" si="17"/>
        <v>#VALUE!</v>
      </c>
      <c r="Y30" s="95" t="e">
        <f t="shared" ca="1" si="18"/>
        <v>#VALUE!</v>
      </c>
      <c r="Z30" s="96" t="e">
        <f t="shared" ca="1" si="19"/>
        <v>#VALUE!</v>
      </c>
      <c r="AA30" s="90" t="e">
        <f t="shared" ca="1" si="20"/>
        <v>#VALUE!</v>
      </c>
      <c r="AB30" s="91" t="e">
        <f t="shared" ca="1" si="21"/>
        <v>#VALUE!</v>
      </c>
      <c r="AC30" s="95" t="e">
        <f t="shared" ca="1" si="22"/>
        <v>#VALUE!</v>
      </c>
      <c r="AD30" s="96" t="e">
        <f t="shared" ca="1" si="23"/>
        <v>#VALUE!</v>
      </c>
      <c r="AE30" s="90" t="e">
        <f t="shared" ca="1" si="1"/>
        <v>#VALUE!</v>
      </c>
      <c r="AF30" s="91" t="e">
        <f t="shared" ca="1" si="24"/>
        <v>#VALUE!</v>
      </c>
    </row>
    <row r="31" spans="2:32" s="76" customFormat="1" ht="24.75" customHeight="1">
      <c r="B31" s="633"/>
      <c r="C31" s="85">
        <v>28</v>
      </c>
      <c r="D31" s="174"/>
      <c r="E31" s="79"/>
      <c r="F31" s="79"/>
      <c r="G31" s="448">
        <f t="shared" ca="1" si="0"/>
        <v>0</v>
      </c>
      <c r="H31" s="239" t="e">
        <f t="shared" ca="1" si="25"/>
        <v>#DIV/0!</v>
      </c>
      <c r="I31" s="88" t="e">
        <f t="shared" ca="1" si="2"/>
        <v>#VALUE!</v>
      </c>
      <c r="J31" s="94" t="e">
        <f t="shared" ca="1" si="3"/>
        <v>#VALUE!</v>
      </c>
      <c r="K31" s="90" t="e">
        <f t="shared" ca="1" si="4"/>
        <v>#VALUE!</v>
      </c>
      <c r="L31" s="91" t="e">
        <f t="shared" ca="1" si="5"/>
        <v>#VALUE!</v>
      </c>
      <c r="M31" s="92" t="e">
        <f t="shared" ca="1" si="6"/>
        <v>#VALUE!</v>
      </c>
      <c r="N31" s="94" t="e">
        <f t="shared" ca="1" si="7"/>
        <v>#VALUE!</v>
      </c>
      <c r="O31" s="90" t="e">
        <f t="shared" ca="1" si="8"/>
        <v>#VALUE!</v>
      </c>
      <c r="P31" s="91" t="e">
        <f t="shared" ca="1" si="9"/>
        <v>#VALUE!</v>
      </c>
      <c r="Q31" s="92" t="e">
        <f t="shared" ca="1" si="10"/>
        <v>#VALUE!</v>
      </c>
      <c r="R31" s="94" t="e">
        <f t="shared" ca="1" si="11"/>
        <v>#VALUE!</v>
      </c>
      <c r="S31" s="90" t="e">
        <f t="shared" ca="1" si="12"/>
        <v>#VALUE!</v>
      </c>
      <c r="T31" s="91" t="e">
        <f t="shared" ca="1" si="13"/>
        <v>#VALUE!</v>
      </c>
      <c r="U31" s="95" t="e">
        <f t="shared" ca="1" si="14"/>
        <v>#VALUE!</v>
      </c>
      <c r="V31" s="96" t="e">
        <f t="shared" ca="1" si="15"/>
        <v>#VALUE!</v>
      </c>
      <c r="W31" s="90" t="e">
        <f t="shared" ca="1" si="16"/>
        <v>#VALUE!</v>
      </c>
      <c r="X31" s="91" t="e">
        <f t="shared" ca="1" si="17"/>
        <v>#VALUE!</v>
      </c>
      <c r="Y31" s="95" t="e">
        <f t="shared" ca="1" si="18"/>
        <v>#VALUE!</v>
      </c>
      <c r="Z31" s="96" t="e">
        <f t="shared" ca="1" si="19"/>
        <v>#VALUE!</v>
      </c>
      <c r="AA31" s="90" t="e">
        <f t="shared" ca="1" si="20"/>
        <v>#VALUE!</v>
      </c>
      <c r="AB31" s="91" t="e">
        <f t="shared" ca="1" si="21"/>
        <v>#VALUE!</v>
      </c>
      <c r="AC31" s="95" t="e">
        <f t="shared" ca="1" si="22"/>
        <v>#VALUE!</v>
      </c>
      <c r="AD31" s="96" t="e">
        <f t="shared" ca="1" si="23"/>
        <v>#VALUE!</v>
      </c>
      <c r="AE31" s="90" t="e">
        <f t="shared" ca="1" si="1"/>
        <v>#VALUE!</v>
      </c>
      <c r="AF31" s="91" t="e">
        <f t="shared" ca="1" si="24"/>
        <v>#VALUE!</v>
      </c>
    </row>
    <row r="32" spans="2:32" s="76" customFormat="1" ht="24.75" customHeight="1">
      <c r="B32" s="633"/>
      <c r="C32" s="85">
        <v>29</v>
      </c>
      <c r="D32" s="174"/>
      <c r="E32" s="79"/>
      <c r="F32" s="173"/>
      <c r="G32" s="448">
        <f t="shared" ca="1" si="0"/>
        <v>0</v>
      </c>
      <c r="H32" s="239" t="e">
        <f t="shared" ca="1" si="25"/>
        <v>#DIV/0!</v>
      </c>
      <c r="I32" s="88" t="e">
        <f t="shared" ca="1" si="2"/>
        <v>#VALUE!</v>
      </c>
      <c r="J32" s="94" t="e">
        <f t="shared" ca="1" si="3"/>
        <v>#VALUE!</v>
      </c>
      <c r="K32" s="90" t="e">
        <f t="shared" ca="1" si="4"/>
        <v>#VALUE!</v>
      </c>
      <c r="L32" s="91" t="e">
        <f t="shared" ca="1" si="5"/>
        <v>#VALUE!</v>
      </c>
      <c r="M32" s="92" t="e">
        <f t="shared" ca="1" si="6"/>
        <v>#VALUE!</v>
      </c>
      <c r="N32" s="94" t="e">
        <f t="shared" ca="1" si="7"/>
        <v>#VALUE!</v>
      </c>
      <c r="O32" s="90" t="e">
        <f t="shared" ca="1" si="8"/>
        <v>#VALUE!</v>
      </c>
      <c r="P32" s="91" t="e">
        <f t="shared" ca="1" si="9"/>
        <v>#VALUE!</v>
      </c>
      <c r="Q32" s="92" t="e">
        <f t="shared" ca="1" si="10"/>
        <v>#VALUE!</v>
      </c>
      <c r="R32" s="94" t="e">
        <f t="shared" ca="1" si="11"/>
        <v>#VALUE!</v>
      </c>
      <c r="S32" s="90" t="e">
        <f t="shared" ca="1" si="12"/>
        <v>#VALUE!</v>
      </c>
      <c r="T32" s="91" t="e">
        <f t="shared" ca="1" si="13"/>
        <v>#VALUE!</v>
      </c>
      <c r="U32" s="95" t="e">
        <f t="shared" ca="1" si="14"/>
        <v>#VALUE!</v>
      </c>
      <c r="V32" s="96" t="e">
        <f t="shared" ca="1" si="15"/>
        <v>#VALUE!</v>
      </c>
      <c r="W32" s="90" t="e">
        <f t="shared" ca="1" si="16"/>
        <v>#VALUE!</v>
      </c>
      <c r="X32" s="91" t="e">
        <f t="shared" ca="1" si="17"/>
        <v>#VALUE!</v>
      </c>
      <c r="Y32" s="95" t="e">
        <f t="shared" ca="1" si="18"/>
        <v>#VALUE!</v>
      </c>
      <c r="Z32" s="96" t="e">
        <f t="shared" ca="1" si="19"/>
        <v>#VALUE!</v>
      </c>
      <c r="AA32" s="90" t="e">
        <f t="shared" ca="1" si="20"/>
        <v>#VALUE!</v>
      </c>
      <c r="AB32" s="91" t="e">
        <f t="shared" ca="1" si="21"/>
        <v>#VALUE!</v>
      </c>
      <c r="AC32" s="95" t="e">
        <f t="shared" ca="1" si="22"/>
        <v>#VALUE!</v>
      </c>
      <c r="AD32" s="96" t="e">
        <f t="shared" ca="1" si="23"/>
        <v>#VALUE!</v>
      </c>
      <c r="AE32" s="90" t="e">
        <f t="shared" ca="1" si="1"/>
        <v>#VALUE!</v>
      </c>
      <c r="AF32" s="91" t="e">
        <f t="shared" ca="1" si="24"/>
        <v>#VALUE!</v>
      </c>
    </row>
    <row r="33" spans="2:32" s="76" customFormat="1" ht="24.75" customHeight="1">
      <c r="B33" s="633"/>
      <c r="C33" s="85">
        <v>30</v>
      </c>
      <c r="D33" s="174"/>
      <c r="E33" s="79"/>
      <c r="F33" s="173"/>
      <c r="G33" s="448">
        <f t="shared" ca="1" si="0"/>
        <v>0</v>
      </c>
      <c r="H33" s="239" t="e">
        <f t="shared" ca="1" si="25"/>
        <v>#DIV/0!</v>
      </c>
      <c r="I33" s="88" t="e">
        <f t="shared" ca="1" si="2"/>
        <v>#VALUE!</v>
      </c>
      <c r="J33" s="94" t="e">
        <f t="shared" ca="1" si="3"/>
        <v>#VALUE!</v>
      </c>
      <c r="K33" s="90" t="e">
        <f t="shared" ca="1" si="4"/>
        <v>#VALUE!</v>
      </c>
      <c r="L33" s="91" t="e">
        <f t="shared" ca="1" si="5"/>
        <v>#VALUE!</v>
      </c>
      <c r="M33" s="92" t="e">
        <f t="shared" ca="1" si="6"/>
        <v>#VALUE!</v>
      </c>
      <c r="N33" s="94" t="e">
        <f t="shared" ca="1" si="7"/>
        <v>#VALUE!</v>
      </c>
      <c r="O33" s="90" t="e">
        <f t="shared" ca="1" si="8"/>
        <v>#VALUE!</v>
      </c>
      <c r="P33" s="91" t="e">
        <f t="shared" ca="1" si="9"/>
        <v>#VALUE!</v>
      </c>
      <c r="Q33" s="92" t="e">
        <f t="shared" ca="1" si="10"/>
        <v>#VALUE!</v>
      </c>
      <c r="R33" s="94" t="e">
        <f t="shared" ca="1" si="11"/>
        <v>#VALUE!</v>
      </c>
      <c r="S33" s="90" t="e">
        <f t="shared" ca="1" si="12"/>
        <v>#VALUE!</v>
      </c>
      <c r="T33" s="91" t="e">
        <f t="shared" ca="1" si="13"/>
        <v>#VALUE!</v>
      </c>
      <c r="U33" s="95" t="e">
        <f t="shared" ca="1" si="14"/>
        <v>#VALUE!</v>
      </c>
      <c r="V33" s="96" t="e">
        <f t="shared" ca="1" si="15"/>
        <v>#VALUE!</v>
      </c>
      <c r="W33" s="90" t="e">
        <f t="shared" ca="1" si="16"/>
        <v>#VALUE!</v>
      </c>
      <c r="X33" s="91" t="e">
        <f t="shared" ca="1" si="17"/>
        <v>#VALUE!</v>
      </c>
      <c r="Y33" s="95" t="e">
        <f t="shared" ca="1" si="18"/>
        <v>#VALUE!</v>
      </c>
      <c r="Z33" s="96" t="e">
        <f t="shared" ca="1" si="19"/>
        <v>#VALUE!</v>
      </c>
      <c r="AA33" s="90" t="e">
        <f t="shared" ca="1" si="20"/>
        <v>#VALUE!</v>
      </c>
      <c r="AB33" s="91" t="e">
        <f t="shared" ca="1" si="21"/>
        <v>#VALUE!</v>
      </c>
      <c r="AC33" s="95" t="e">
        <f t="shared" ca="1" si="22"/>
        <v>#VALUE!</v>
      </c>
      <c r="AD33" s="96" t="e">
        <f t="shared" ca="1" si="23"/>
        <v>#VALUE!</v>
      </c>
      <c r="AE33" s="90" t="e">
        <f t="shared" ca="1" si="1"/>
        <v>#VALUE!</v>
      </c>
      <c r="AF33" s="91" t="e">
        <f t="shared" ca="1" si="24"/>
        <v>#VALUE!</v>
      </c>
    </row>
    <row r="34" spans="2:32" s="76" customFormat="1" ht="24.75" customHeight="1">
      <c r="B34" s="633"/>
      <c r="C34" s="85">
        <v>31</v>
      </c>
      <c r="D34" s="174"/>
      <c r="E34" s="79"/>
      <c r="F34" s="173"/>
      <c r="G34" s="448">
        <f t="shared" ca="1" si="0"/>
        <v>0</v>
      </c>
      <c r="H34" s="239" t="e">
        <f t="shared" ca="1" si="25"/>
        <v>#DIV/0!</v>
      </c>
      <c r="I34" s="88" t="e">
        <f t="shared" ca="1" si="2"/>
        <v>#VALUE!</v>
      </c>
      <c r="J34" s="94" t="e">
        <f t="shared" ca="1" si="3"/>
        <v>#VALUE!</v>
      </c>
      <c r="K34" s="90" t="e">
        <f t="shared" ca="1" si="4"/>
        <v>#VALUE!</v>
      </c>
      <c r="L34" s="91" t="e">
        <f t="shared" ca="1" si="5"/>
        <v>#VALUE!</v>
      </c>
      <c r="M34" s="92" t="e">
        <f t="shared" ca="1" si="6"/>
        <v>#VALUE!</v>
      </c>
      <c r="N34" s="94" t="e">
        <f t="shared" ca="1" si="7"/>
        <v>#VALUE!</v>
      </c>
      <c r="O34" s="90" t="e">
        <f t="shared" ca="1" si="8"/>
        <v>#VALUE!</v>
      </c>
      <c r="P34" s="91" t="e">
        <f t="shared" ca="1" si="9"/>
        <v>#VALUE!</v>
      </c>
      <c r="Q34" s="92" t="e">
        <f t="shared" ca="1" si="10"/>
        <v>#VALUE!</v>
      </c>
      <c r="R34" s="94" t="e">
        <f t="shared" ca="1" si="11"/>
        <v>#VALUE!</v>
      </c>
      <c r="S34" s="90" t="e">
        <f t="shared" ca="1" si="12"/>
        <v>#VALUE!</v>
      </c>
      <c r="T34" s="91" t="e">
        <f t="shared" ca="1" si="13"/>
        <v>#VALUE!</v>
      </c>
      <c r="U34" s="95" t="e">
        <f t="shared" ca="1" si="14"/>
        <v>#VALUE!</v>
      </c>
      <c r="V34" s="96" t="e">
        <f t="shared" ca="1" si="15"/>
        <v>#VALUE!</v>
      </c>
      <c r="W34" s="90" t="e">
        <f t="shared" ca="1" si="16"/>
        <v>#VALUE!</v>
      </c>
      <c r="X34" s="91" t="e">
        <f t="shared" ca="1" si="17"/>
        <v>#VALUE!</v>
      </c>
      <c r="Y34" s="95" t="e">
        <f t="shared" ca="1" si="18"/>
        <v>#VALUE!</v>
      </c>
      <c r="Z34" s="96" t="e">
        <f t="shared" ca="1" si="19"/>
        <v>#VALUE!</v>
      </c>
      <c r="AA34" s="90" t="e">
        <f t="shared" ca="1" si="20"/>
        <v>#VALUE!</v>
      </c>
      <c r="AB34" s="91" t="e">
        <f t="shared" ca="1" si="21"/>
        <v>#VALUE!</v>
      </c>
      <c r="AC34" s="95" t="e">
        <f t="shared" ca="1" si="22"/>
        <v>#VALUE!</v>
      </c>
      <c r="AD34" s="96" t="e">
        <f t="shared" ca="1" si="23"/>
        <v>#VALUE!</v>
      </c>
      <c r="AE34" s="90" t="e">
        <f t="shared" ca="1" si="1"/>
        <v>#VALUE!</v>
      </c>
      <c r="AF34" s="91" t="e">
        <f t="shared" ca="1" si="24"/>
        <v>#VALUE!</v>
      </c>
    </row>
    <row r="35" spans="2:32" s="76" customFormat="1" ht="24.75" customHeight="1" thickBot="1">
      <c r="B35" s="633"/>
      <c r="C35" s="274">
        <v>32</v>
      </c>
      <c r="D35" s="275"/>
      <c r="E35" s="276"/>
      <c r="F35" s="173"/>
      <c r="G35" s="448">
        <f t="shared" ca="1" si="0"/>
        <v>0</v>
      </c>
      <c r="H35" s="277" t="e">
        <f t="shared" ca="1" si="25"/>
        <v>#DIV/0!</v>
      </c>
      <c r="I35" s="88" t="e">
        <f t="shared" ca="1" si="2"/>
        <v>#VALUE!</v>
      </c>
      <c r="J35" s="278" t="e">
        <f t="shared" ca="1" si="3"/>
        <v>#VALUE!</v>
      </c>
      <c r="K35" s="279" t="e">
        <f t="shared" ca="1" si="4"/>
        <v>#VALUE!</v>
      </c>
      <c r="L35" s="280" t="e">
        <f t="shared" ca="1" si="5"/>
        <v>#VALUE!</v>
      </c>
      <c r="M35" s="281" t="e">
        <f t="shared" ca="1" si="6"/>
        <v>#VALUE!</v>
      </c>
      <c r="N35" s="278" t="e">
        <f t="shared" ca="1" si="7"/>
        <v>#VALUE!</v>
      </c>
      <c r="O35" s="279" t="e">
        <f t="shared" ca="1" si="8"/>
        <v>#VALUE!</v>
      </c>
      <c r="P35" s="280" t="e">
        <f t="shared" ca="1" si="9"/>
        <v>#VALUE!</v>
      </c>
      <c r="Q35" s="281" t="e">
        <f t="shared" ca="1" si="10"/>
        <v>#VALUE!</v>
      </c>
      <c r="R35" s="278" t="e">
        <f t="shared" ca="1" si="11"/>
        <v>#VALUE!</v>
      </c>
      <c r="S35" s="279" t="e">
        <f t="shared" ca="1" si="12"/>
        <v>#VALUE!</v>
      </c>
      <c r="T35" s="280" t="e">
        <f t="shared" ca="1" si="13"/>
        <v>#VALUE!</v>
      </c>
      <c r="U35" s="282" t="e">
        <f t="shared" ca="1" si="14"/>
        <v>#VALUE!</v>
      </c>
      <c r="V35" s="271" t="e">
        <f t="shared" ca="1" si="15"/>
        <v>#VALUE!</v>
      </c>
      <c r="W35" s="279" t="e">
        <f t="shared" ca="1" si="16"/>
        <v>#VALUE!</v>
      </c>
      <c r="X35" s="280" t="e">
        <f t="shared" ca="1" si="17"/>
        <v>#VALUE!</v>
      </c>
      <c r="Y35" s="282" t="e">
        <f t="shared" ca="1" si="18"/>
        <v>#VALUE!</v>
      </c>
      <c r="Z35" s="271" t="e">
        <f t="shared" ca="1" si="19"/>
        <v>#VALUE!</v>
      </c>
      <c r="AA35" s="279" t="e">
        <f t="shared" ca="1" si="20"/>
        <v>#VALUE!</v>
      </c>
      <c r="AB35" s="280" t="e">
        <f t="shared" ca="1" si="21"/>
        <v>#VALUE!</v>
      </c>
      <c r="AC35" s="95" t="e">
        <f t="shared" ca="1" si="22"/>
        <v>#VALUE!</v>
      </c>
      <c r="AD35" s="271" t="e">
        <f t="shared" ca="1" si="23"/>
        <v>#VALUE!</v>
      </c>
      <c r="AE35" s="279" t="e">
        <f t="shared" ca="1" si="1"/>
        <v>#VALUE!</v>
      </c>
      <c r="AF35" s="280" t="e">
        <f t="shared" ca="1" si="24"/>
        <v>#VALUE!</v>
      </c>
    </row>
    <row r="36" spans="2:32" s="76" customFormat="1" ht="24.75" customHeight="1">
      <c r="B36" s="632" t="s">
        <v>105</v>
      </c>
      <c r="C36" s="283">
        <v>33</v>
      </c>
      <c r="D36" s="285" t="s">
        <v>120</v>
      </c>
      <c r="E36" s="286"/>
      <c r="F36" s="284" t="s">
        <v>26</v>
      </c>
      <c r="G36" s="449">
        <f t="shared" ca="1" si="0"/>
        <v>0</v>
      </c>
      <c r="H36" s="288" t="e">
        <f ca="1">G36/$G$56</f>
        <v>#DIV/0!</v>
      </c>
      <c r="I36" s="289" t="e">
        <f ca="1">somaCodigo(2,D36)</f>
        <v>#VALUE!</v>
      </c>
      <c r="J36" s="290" t="e">
        <f t="shared" ca="1" si="3"/>
        <v>#VALUE!</v>
      </c>
      <c r="K36" s="287" t="e">
        <f ca="1">somaCodigo(3,D36)</f>
        <v>#VALUE!</v>
      </c>
      <c r="L36" s="291" t="e">
        <f t="shared" ca="1" si="5"/>
        <v>#VALUE!</v>
      </c>
      <c r="M36" s="292" t="e">
        <f ca="1">somaCodigo(4,D36)</f>
        <v>#VALUE!</v>
      </c>
      <c r="N36" s="290" t="e">
        <f t="shared" ca="1" si="7"/>
        <v>#VALUE!</v>
      </c>
      <c r="O36" s="287" t="e">
        <f ca="1">somaCodigo(5,D36)</f>
        <v>#VALUE!</v>
      </c>
      <c r="P36" s="291" t="e">
        <f t="shared" ca="1" si="9"/>
        <v>#VALUE!</v>
      </c>
      <c r="Q36" s="292" t="e">
        <f ca="1">somaCodigo(6,D36)</f>
        <v>#VALUE!</v>
      </c>
      <c r="R36" s="290" t="e">
        <f t="shared" ca="1" si="11"/>
        <v>#VALUE!</v>
      </c>
      <c r="S36" s="287" t="e">
        <f ca="1">somaCodigo(7,D36)</f>
        <v>#VALUE!</v>
      </c>
      <c r="T36" s="291" t="e">
        <f t="shared" ca="1" si="13"/>
        <v>#VALUE!</v>
      </c>
      <c r="U36" s="293" t="e">
        <f ca="1">somaCodigo(8,D36)</f>
        <v>#VALUE!</v>
      </c>
      <c r="V36" s="294" t="e">
        <f t="shared" ca="1" si="15"/>
        <v>#VALUE!</v>
      </c>
      <c r="W36" s="287" t="e">
        <f ca="1">somaCodigo(9,D36)</f>
        <v>#VALUE!</v>
      </c>
      <c r="X36" s="291" t="e">
        <f t="shared" ca="1" si="17"/>
        <v>#VALUE!</v>
      </c>
      <c r="Y36" s="293" t="e">
        <f ca="1">somaCodigo(10,D36)</f>
        <v>#VALUE!</v>
      </c>
      <c r="Z36" s="294" t="e">
        <f t="shared" ca="1" si="19"/>
        <v>#VALUE!</v>
      </c>
      <c r="AA36" s="287" t="e">
        <f t="shared" ca="1" si="20"/>
        <v>#VALUE!</v>
      </c>
      <c r="AB36" s="291" t="e">
        <f t="shared" ca="1" si="21"/>
        <v>#VALUE!</v>
      </c>
      <c r="AC36" s="293" t="e">
        <f t="shared" ca="1" si="22"/>
        <v>#VALUE!</v>
      </c>
      <c r="AD36" s="294" t="e">
        <f t="shared" ca="1" si="23"/>
        <v>#VALUE!</v>
      </c>
      <c r="AE36" s="287" t="e">
        <f t="shared" ca="1" si="1"/>
        <v>#VALUE!</v>
      </c>
      <c r="AF36" s="295" t="e">
        <f t="shared" ca="1" si="24"/>
        <v>#VALUE!</v>
      </c>
    </row>
    <row r="37" spans="2:32" s="76" customFormat="1" ht="24.75" customHeight="1">
      <c r="B37" s="633"/>
      <c r="C37" s="85">
        <v>34</v>
      </c>
      <c r="D37" s="174" t="s">
        <v>121</v>
      </c>
      <c r="E37" s="79"/>
      <c r="F37" s="173" t="s">
        <v>27</v>
      </c>
      <c r="G37" s="450">
        <f t="shared" ref="G37:G55" ca="1" si="26">somaCodigo(1,D37)</f>
        <v>0</v>
      </c>
      <c r="H37" s="239" t="e">
        <f t="shared" ca="1" si="25"/>
        <v>#DIV/0!</v>
      </c>
      <c r="I37" s="88" t="e">
        <f t="shared" ref="I37:I55" ca="1" si="27">somaCodigo(2,D37)</f>
        <v>#VALUE!</v>
      </c>
      <c r="J37" s="94" t="e">
        <f t="shared" ca="1" si="3"/>
        <v>#VALUE!</v>
      </c>
      <c r="K37" s="90" t="e">
        <f t="shared" ref="K37:K55" ca="1" si="28">somaCodigo(3,D37)</f>
        <v>#VALUE!</v>
      </c>
      <c r="L37" s="91" t="e">
        <f t="shared" ca="1" si="5"/>
        <v>#VALUE!</v>
      </c>
      <c r="M37" s="92" t="e">
        <f t="shared" ref="M37:M55" ca="1" si="29">somaCodigo(4,D37)</f>
        <v>#VALUE!</v>
      </c>
      <c r="N37" s="94" t="e">
        <f t="shared" ca="1" si="7"/>
        <v>#VALUE!</v>
      </c>
      <c r="O37" s="90" t="e">
        <f t="shared" ref="O37:O55" ca="1" si="30">somaCodigo(5,D37)</f>
        <v>#VALUE!</v>
      </c>
      <c r="P37" s="91" t="e">
        <f t="shared" ca="1" si="9"/>
        <v>#VALUE!</v>
      </c>
      <c r="Q37" s="92" t="e">
        <f t="shared" ref="Q37:Q55" ca="1" si="31">somaCodigo(6,D37)</f>
        <v>#VALUE!</v>
      </c>
      <c r="R37" s="94" t="e">
        <f t="shared" ca="1" si="11"/>
        <v>#VALUE!</v>
      </c>
      <c r="S37" s="90" t="e">
        <f t="shared" ref="S37:S55" ca="1" si="32">somaCodigo(7,D37)</f>
        <v>#VALUE!</v>
      </c>
      <c r="T37" s="91" t="e">
        <f t="shared" ca="1" si="13"/>
        <v>#VALUE!</v>
      </c>
      <c r="U37" s="95" t="e">
        <f t="shared" ref="U37:U55" ca="1" si="33">somaCodigo(8,D37)</f>
        <v>#VALUE!</v>
      </c>
      <c r="V37" s="96" t="e">
        <f t="shared" ca="1" si="15"/>
        <v>#VALUE!</v>
      </c>
      <c r="W37" s="90" t="e">
        <f t="shared" ref="W37:W55" ca="1" si="34">somaCodigo(9,D37)</f>
        <v>#VALUE!</v>
      </c>
      <c r="X37" s="91" t="e">
        <f t="shared" ca="1" si="17"/>
        <v>#VALUE!</v>
      </c>
      <c r="Y37" s="95" t="e">
        <f t="shared" ref="Y37:Y55" ca="1" si="35">somaCodigo(10,D37)</f>
        <v>#VALUE!</v>
      </c>
      <c r="Z37" s="96" t="e">
        <f t="shared" ca="1" si="19"/>
        <v>#VALUE!</v>
      </c>
      <c r="AA37" s="90" t="e">
        <f t="shared" ca="1" si="20"/>
        <v>#VALUE!</v>
      </c>
      <c r="AB37" s="91" t="e">
        <f t="shared" ca="1" si="21"/>
        <v>#VALUE!</v>
      </c>
      <c r="AC37" s="95" t="e">
        <f t="shared" ca="1" si="22"/>
        <v>#VALUE!</v>
      </c>
      <c r="AD37" s="96" t="e">
        <f t="shared" ca="1" si="23"/>
        <v>#VALUE!</v>
      </c>
      <c r="AE37" s="90" t="e">
        <f t="shared" ca="1" si="1"/>
        <v>#VALUE!</v>
      </c>
      <c r="AF37" s="91" t="e">
        <f t="shared" ca="1" si="24"/>
        <v>#VALUE!</v>
      </c>
    </row>
    <row r="38" spans="2:32" s="76" customFormat="1" ht="24.75" customHeight="1">
      <c r="B38" s="633"/>
      <c r="C38" s="85">
        <v>35</v>
      </c>
      <c r="D38" s="174" t="s">
        <v>122</v>
      </c>
      <c r="E38" s="79" t="s">
        <v>136</v>
      </c>
      <c r="F38" s="173" t="s">
        <v>28</v>
      </c>
      <c r="G38" s="450">
        <f t="shared" ca="1" si="26"/>
        <v>0</v>
      </c>
      <c r="H38" s="239" t="e">
        <f t="shared" ca="1" si="25"/>
        <v>#DIV/0!</v>
      </c>
      <c r="I38" s="88" t="e">
        <f t="shared" ca="1" si="27"/>
        <v>#VALUE!</v>
      </c>
      <c r="J38" s="94" t="e">
        <f t="shared" ca="1" si="3"/>
        <v>#VALUE!</v>
      </c>
      <c r="K38" s="90" t="e">
        <f t="shared" ca="1" si="28"/>
        <v>#VALUE!</v>
      </c>
      <c r="L38" s="91" t="e">
        <f t="shared" ca="1" si="5"/>
        <v>#VALUE!</v>
      </c>
      <c r="M38" s="92" t="e">
        <f t="shared" ca="1" si="29"/>
        <v>#VALUE!</v>
      </c>
      <c r="N38" s="94" t="e">
        <f t="shared" ca="1" si="7"/>
        <v>#VALUE!</v>
      </c>
      <c r="O38" s="90" t="e">
        <f ca="1">somaCodigo(5,D38)</f>
        <v>#VALUE!</v>
      </c>
      <c r="P38" s="91" t="e">
        <f t="shared" ca="1" si="9"/>
        <v>#VALUE!</v>
      </c>
      <c r="Q38" s="92" t="e">
        <f t="shared" ca="1" si="31"/>
        <v>#VALUE!</v>
      </c>
      <c r="R38" s="94" t="e">
        <f t="shared" ca="1" si="11"/>
        <v>#VALUE!</v>
      </c>
      <c r="S38" s="90" t="e">
        <f t="shared" ca="1" si="32"/>
        <v>#VALUE!</v>
      </c>
      <c r="T38" s="91" t="e">
        <f t="shared" ca="1" si="13"/>
        <v>#VALUE!</v>
      </c>
      <c r="U38" s="95" t="e">
        <f t="shared" ca="1" si="33"/>
        <v>#VALUE!</v>
      </c>
      <c r="V38" s="96" t="e">
        <f t="shared" ca="1" si="15"/>
        <v>#VALUE!</v>
      </c>
      <c r="W38" s="90" t="e">
        <f t="shared" ca="1" si="34"/>
        <v>#VALUE!</v>
      </c>
      <c r="X38" s="91" t="e">
        <f t="shared" ca="1" si="17"/>
        <v>#VALUE!</v>
      </c>
      <c r="Y38" s="95" t="e">
        <f t="shared" ca="1" si="35"/>
        <v>#VALUE!</v>
      </c>
      <c r="Z38" s="96" t="e">
        <f t="shared" ca="1" si="19"/>
        <v>#VALUE!</v>
      </c>
      <c r="AA38" s="90" t="e">
        <f t="shared" ca="1" si="20"/>
        <v>#VALUE!</v>
      </c>
      <c r="AB38" s="91" t="e">
        <f t="shared" ca="1" si="21"/>
        <v>#VALUE!</v>
      </c>
      <c r="AC38" s="95" t="e">
        <f t="shared" ca="1" si="22"/>
        <v>#VALUE!</v>
      </c>
      <c r="AD38" s="96" t="e">
        <f t="shared" ca="1" si="23"/>
        <v>#VALUE!</v>
      </c>
      <c r="AE38" s="90" t="e">
        <f t="shared" ca="1" si="1"/>
        <v>#VALUE!</v>
      </c>
      <c r="AF38" s="91" t="e">
        <f t="shared" ca="1" si="24"/>
        <v>#VALUE!</v>
      </c>
    </row>
    <row r="39" spans="2:32" s="76" customFormat="1" ht="24.75" customHeight="1">
      <c r="B39" s="633"/>
      <c r="C39" s="85">
        <v>36</v>
      </c>
      <c r="D39" s="174" t="s">
        <v>123</v>
      </c>
      <c r="E39" s="79"/>
      <c r="F39" s="173" t="s">
        <v>29</v>
      </c>
      <c r="G39" s="450">
        <f t="shared" ca="1" si="26"/>
        <v>0</v>
      </c>
      <c r="H39" s="239" t="e">
        <f t="shared" ca="1" si="25"/>
        <v>#DIV/0!</v>
      </c>
      <c r="I39" s="88" t="e">
        <f t="shared" ca="1" si="27"/>
        <v>#VALUE!</v>
      </c>
      <c r="J39" s="537" t="e">
        <f t="shared" ca="1" si="3"/>
        <v>#VALUE!</v>
      </c>
      <c r="K39" s="90" t="e">
        <f t="shared" ca="1" si="28"/>
        <v>#VALUE!</v>
      </c>
      <c r="L39" s="91" t="e">
        <f t="shared" ca="1" si="5"/>
        <v>#VALUE!</v>
      </c>
      <c r="M39" s="92" t="e">
        <f t="shared" ca="1" si="29"/>
        <v>#VALUE!</v>
      </c>
      <c r="N39" s="94" t="e">
        <f t="shared" ca="1" si="7"/>
        <v>#VALUE!</v>
      </c>
      <c r="O39" s="90" t="e">
        <f t="shared" ca="1" si="30"/>
        <v>#VALUE!</v>
      </c>
      <c r="P39" s="91" t="e">
        <f t="shared" ca="1" si="9"/>
        <v>#VALUE!</v>
      </c>
      <c r="Q39" s="92" t="e">
        <f t="shared" ca="1" si="31"/>
        <v>#VALUE!</v>
      </c>
      <c r="R39" s="94" t="e">
        <f t="shared" ca="1" si="11"/>
        <v>#VALUE!</v>
      </c>
      <c r="S39" s="90" t="e">
        <f t="shared" ca="1" si="32"/>
        <v>#VALUE!</v>
      </c>
      <c r="T39" s="91" t="e">
        <f t="shared" ca="1" si="13"/>
        <v>#VALUE!</v>
      </c>
      <c r="U39" s="95" t="e">
        <f t="shared" ca="1" si="33"/>
        <v>#VALUE!</v>
      </c>
      <c r="V39" s="96" t="e">
        <f t="shared" ca="1" si="15"/>
        <v>#VALUE!</v>
      </c>
      <c r="W39" s="90" t="e">
        <f t="shared" ca="1" si="34"/>
        <v>#VALUE!</v>
      </c>
      <c r="X39" s="91" t="e">
        <f t="shared" ca="1" si="17"/>
        <v>#VALUE!</v>
      </c>
      <c r="Y39" s="95" t="e">
        <f t="shared" ca="1" si="35"/>
        <v>#VALUE!</v>
      </c>
      <c r="Z39" s="96" t="e">
        <f t="shared" ca="1" si="19"/>
        <v>#VALUE!</v>
      </c>
      <c r="AA39" s="90" t="e">
        <f t="shared" ca="1" si="20"/>
        <v>#VALUE!</v>
      </c>
      <c r="AB39" s="91" t="e">
        <f t="shared" ca="1" si="21"/>
        <v>#VALUE!</v>
      </c>
      <c r="AC39" s="95" t="e">
        <f t="shared" ca="1" si="22"/>
        <v>#VALUE!</v>
      </c>
      <c r="AD39" s="96" t="e">
        <f t="shared" ca="1" si="23"/>
        <v>#VALUE!</v>
      </c>
      <c r="AE39" s="90" t="e">
        <f t="shared" ca="1" si="1"/>
        <v>#VALUE!</v>
      </c>
      <c r="AF39" s="91" t="e">
        <f t="shared" ca="1" si="24"/>
        <v>#VALUE!</v>
      </c>
    </row>
    <row r="40" spans="2:32" s="76" customFormat="1" ht="24.75" customHeight="1">
      <c r="B40" s="633"/>
      <c r="C40" s="85">
        <v>37</v>
      </c>
      <c r="D40" s="174" t="s">
        <v>124</v>
      </c>
      <c r="E40" s="79" t="s">
        <v>102</v>
      </c>
      <c r="F40" s="173" t="s">
        <v>30</v>
      </c>
      <c r="G40" s="450">
        <f t="shared" ca="1" si="26"/>
        <v>0</v>
      </c>
      <c r="H40" s="239" t="e">
        <f t="shared" ca="1" si="25"/>
        <v>#DIV/0!</v>
      </c>
      <c r="I40" s="88" t="e">
        <f t="shared" ca="1" si="27"/>
        <v>#VALUE!</v>
      </c>
      <c r="J40" s="94" t="e">
        <f t="shared" ca="1" si="3"/>
        <v>#VALUE!</v>
      </c>
      <c r="K40" s="90" t="e">
        <f t="shared" ca="1" si="28"/>
        <v>#VALUE!</v>
      </c>
      <c r="L40" s="91" t="e">
        <f t="shared" ca="1" si="5"/>
        <v>#VALUE!</v>
      </c>
      <c r="M40" s="92" t="e">
        <f t="shared" ca="1" si="29"/>
        <v>#VALUE!</v>
      </c>
      <c r="N40" s="94" t="e">
        <f t="shared" ca="1" si="7"/>
        <v>#VALUE!</v>
      </c>
      <c r="O40" s="90" t="e">
        <f t="shared" ca="1" si="30"/>
        <v>#VALUE!</v>
      </c>
      <c r="P40" s="91" t="e">
        <f t="shared" ca="1" si="9"/>
        <v>#VALUE!</v>
      </c>
      <c r="Q40" s="92" t="e">
        <f t="shared" ca="1" si="31"/>
        <v>#VALUE!</v>
      </c>
      <c r="R40" s="94" t="e">
        <f t="shared" ca="1" si="11"/>
        <v>#VALUE!</v>
      </c>
      <c r="S40" s="90" t="e">
        <f t="shared" ca="1" si="32"/>
        <v>#VALUE!</v>
      </c>
      <c r="T40" s="91" t="e">
        <f t="shared" ca="1" si="13"/>
        <v>#VALUE!</v>
      </c>
      <c r="U40" s="95" t="e">
        <f t="shared" ca="1" si="33"/>
        <v>#VALUE!</v>
      </c>
      <c r="V40" s="96" t="e">
        <f t="shared" ca="1" si="15"/>
        <v>#VALUE!</v>
      </c>
      <c r="W40" s="90" t="e">
        <f t="shared" ca="1" si="34"/>
        <v>#VALUE!</v>
      </c>
      <c r="X40" s="91" t="e">
        <f t="shared" ca="1" si="17"/>
        <v>#VALUE!</v>
      </c>
      <c r="Y40" s="95" t="e">
        <f t="shared" ca="1" si="35"/>
        <v>#VALUE!</v>
      </c>
      <c r="Z40" s="96" t="e">
        <f t="shared" ca="1" si="19"/>
        <v>#VALUE!</v>
      </c>
      <c r="AA40" s="90" t="e">
        <f t="shared" ca="1" si="20"/>
        <v>#VALUE!</v>
      </c>
      <c r="AB40" s="91" t="e">
        <f t="shared" ca="1" si="21"/>
        <v>#VALUE!</v>
      </c>
      <c r="AC40" s="95" t="e">
        <f t="shared" ca="1" si="22"/>
        <v>#VALUE!</v>
      </c>
      <c r="AD40" s="96" t="e">
        <f t="shared" ca="1" si="23"/>
        <v>#VALUE!</v>
      </c>
      <c r="AE40" s="90" t="e">
        <f t="shared" ca="1" si="1"/>
        <v>#VALUE!</v>
      </c>
      <c r="AF40" s="91" t="e">
        <f t="shared" ca="1" si="24"/>
        <v>#VALUE!</v>
      </c>
    </row>
    <row r="41" spans="2:32" s="76" customFormat="1" ht="24.75" customHeight="1">
      <c r="B41" s="633"/>
      <c r="C41" s="85">
        <v>38</v>
      </c>
      <c r="D41" s="174"/>
      <c r="E41" s="79"/>
      <c r="F41" s="173"/>
      <c r="G41" s="450">
        <f t="shared" ca="1" si="26"/>
        <v>0</v>
      </c>
      <c r="H41" s="239" t="e">
        <f t="shared" ca="1" si="25"/>
        <v>#DIV/0!</v>
      </c>
      <c r="I41" s="88" t="e">
        <f t="shared" ca="1" si="27"/>
        <v>#VALUE!</v>
      </c>
      <c r="J41" s="94" t="e">
        <f t="shared" ca="1" si="3"/>
        <v>#VALUE!</v>
      </c>
      <c r="K41" s="90" t="e">
        <f t="shared" ca="1" si="28"/>
        <v>#VALUE!</v>
      </c>
      <c r="L41" s="91" t="e">
        <f t="shared" ca="1" si="5"/>
        <v>#VALUE!</v>
      </c>
      <c r="M41" s="92" t="e">
        <f t="shared" ca="1" si="29"/>
        <v>#VALUE!</v>
      </c>
      <c r="N41" s="94" t="e">
        <f t="shared" ca="1" si="7"/>
        <v>#VALUE!</v>
      </c>
      <c r="O41" s="90" t="e">
        <f t="shared" ca="1" si="30"/>
        <v>#VALUE!</v>
      </c>
      <c r="P41" s="91" t="e">
        <f t="shared" ca="1" si="9"/>
        <v>#VALUE!</v>
      </c>
      <c r="Q41" s="92" t="e">
        <f t="shared" ca="1" si="31"/>
        <v>#VALUE!</v>
      </c>
      <c r="R41" s="94" t="e">
        <f t="shared" ca="1" si="11"/>
        <v>#VALUE!</v>
      </c>
      <c r="S41" s="90" t="e">
        <f t="shared" ca="1" si="32"/>
        <v>#VALUE!</v>
      </c>
      <c r="T41" s="91" t="e">
        <f t="shared" ca="1" si="13"/>
        <v>#VALUE!</v>
      </c>
      <c r="U41" s="95" t="e">
        <f t="shared" ca="1" si="33"/>
        <v>#VALUE!</v>
      </c>
      <c r="V41" s="96" t="e">
        <f t="shared" ca="1" si="15"/>
        <v>#VALUE!</v>
      </c>
      <c r="W41" s="90" t="e">
        <f t="shared" ca="1" si="34"/>
        <v>#VALUE!</v>
      </c>
      <c r="X41" s="91" t="e">
        <f t="shared" ca="1" si="17"/>
        <v>#VALUE!</v>
      </c>
      <c r="Y41" s="95" t="e">
        <f t="shared" ca="1" si="35"/>
        <v>#VALUE!</v>
      </c>
      <c r="Z41" s="96" t="e">
        <f t="shared" ca="1" si="19"/>
        <v>#VALUE!</v>
      </c>
      <c r="AA41" s="90" t="e">
        <f t="shared" ca="1" si="20"/>
        <v>#VALUE!</v>
      </c>
      <c r="AB41" s="91" t="e">
        <f t="shared" ca="1" si="21"/>
        <v>#VALUE!</v>
      </c>
      <c r="AC41" s="95" t="e">
        <f t="shared" ca="1" si="22"/>
        <v>#VALUE!</v>
      </c>
      <c r="AD41" s="96" t="e">
        <f t="shared" ca="1" si="23"/>
        <v>#VALUE!</v>
      </c>
      <c r="AE41" s="90" t="e">
        <f t="shared" ca="1" si="1"/>
        <v>#VALUE!</v>
      </c>
      <c r="AF41" s="91" t="e">
        <f t="shared" ca="1" si="24"/>
        <v>#VALUE!</v>
      </c>
    </row>
    <row r="42" spans="2:32" s="76" customFormat="1" ht="24.75" customHeight="1">
      <c r="B42" s="633"/>
      <c r="C42" s="85">
        <v>39</v>
      </c>
      <c r="D42" s="174"/>
      <c r="E42" s="79"/>
      <c r="F42" s="173"/>
      <c r="G42" s="450">
        <f t="shared" ca="1" si="26"/>
        <v>0</v>
      </c>
      <c r="H42" s="239" t="e">
        <f t="shared" ca="1" si="25"/>
        <v>#DIV/0!</v>
      </c>
      <c r="I42" s="88" t="e">
        <f t="shared" ca="1" si="27"/>
        <v>#VALUE!</v>
      </c>
      <c r="J42" s="94" t="e">
        <f t="shared" ca="1" si="3"/>
        <v>#VALUE!</v>
      </c>
      <c r="K42" s="90" t="e">
        <f t="shared" ca="1" si="28"/>
        <v>#VALUE!</v>
      </c>
      <c r="L42" s="91" t="e">
        <f t="shared" ca="1" si="5"/>
        <v>#VALUE!</v>
      </c>
      <c r="M42" s="92" t="e">
        <f t="shared" ca="1" si="29"/>
        <v>#VALUE!</v>
      </c>
      <c r="N42" s="94" t="e">
        <f t="shared" ca="1" si="7"/>
        <v>#VALUE!</v>
      </c>
      <c r="O42" s="90" t="e">
        <f t="shared" ca="1" si="30"/>
        <v>#VALUE!</v>
      </c>
      <c r="P42" s="91" t="e">
        <f t="shared" ca="1" si="9"/>
        <v>#VALUE!</v>
      </c>
      <c r="Q42" s="92" t="e">
        <f t="shared" ca="1" si="31"/>
        <v>#VALUE!</v>
      </c>
      <c r="R42" s="94" t="e">
        <f t="shared" ca="1" si="11"/>
        <v>#VALUE!</v>
      </c>
      <c r="S42" s="90" t="e">
        <f ca="1">somaCodigo(7,D42)</f>
        <v>#VALUE!</v>
      </c>
      <c r="T42" s="91" t="e">
        <f t="shared" ca="1" si="13"/>
        <v>#VALUE!</v>
      </c>
      <c r="U42" s="95" t="e">
        <f t="shared" ca="1" si="33"/>
        <v>#VALUE!</v>
      </c>
      <c r="V42" s="96" t="e">
        <f t="shared" ca="1" si="15"/>
        <v>#VALUE!</v>
      </c>
      <c r="W42" s="90" t="e">
        <f t="shared" ca="1" si="34"/>
        <v>#VALUE!</v>
      </c>
      <c r="X42" s="91" t="e">
        <f t="shared" ca="1" si="17"/>
        <v>#VALUE!</v>
      </c>
      <c r="Y42" s="95" t="e">
        <f t="shared" ca="1" si="35"/>
        <v>#VALUE!</v>
      </c>
      <c r="Z42" s="96" t="e">
        <f t="shared" ca="1" si="19"/>
        <v>#VALUE!</v>
      </c>
      <c r="AA42" s="90" t="e">
        <f t="shared" ca="1" si="20"/>
        <v>#VALUE!</v>
      </c>
      <c r="AB42" s="91" t="e">
        <f t="shared" ca="1" si="21"/>
        <v>#VALUE!</v>
      </c>
      <c r="AC42" s="95" t="e">
        <f t="shared" ca="1" si="22"/>
        <v>#VALUE!</v>
      </c>
      <c r="AD42" s="96" t="e">
        <f t="shared" ca="1" si="23"/>
        <v>#VALUE!</v>
      </c>
      <c r="AE42" s="90" t="e">
        <f t="shared" ca="1" si="1"/>
        <v>#VALUE!</v>
      </c>
      <c r="AF42" s="91" t="e">
        <f t="shared" ca="1" si="24"/>
        <v>#VALUE!</v>
      </c>
    </row>
    <row r="43" spans="2:32" s="76" customFormat="1" ht="24.75" customHeight="1">
      <c r="B43" s="633"/>
      <c r="C43" s="85">
        <v>40</v>
      </c>
      <c r="D43" s="174"/>
      <c r="E43" s="79"/>
      <c r="F43" s="173"/>
      <c r="G43" s="450">
        <f t="shared" ca="1" si="26"/>
        <v>0</v>
      </c>
      <c r="H43" s="239" t="e">
        <f t="shared" ca="1" si="25"/>
        <v>#DIV/0!</v>
      </c>
      <c r="I43" s="88" t="e">
        <f t="shared" ca="1" si="27"/>
        <v>#VALUE!</v>
      </c>
      <c r="J43" s="94" t="e">
        <f t="shared" ca="1" si="3"/>
        <v>#VALUE!</v>
      </c>
      <c r="K43" s="90" t="e">
        <f t="shared" ca="1" si="28"/>
        <v>#VALUE!</v>
      </c>
      <c r="L43" s="91" t="e">
        <f t="shared" ca="1" si="5"/>
        <v>#VALUE!</v>
      </c>
      <c r="M43" s="92" t="e">
        <f t="shared" ca="1" si="29"/>
        <v>#VALUE!</v>
      </c>
      <c r="N43" s="94" t="e">
        <f t="shared" ca="1" si="7"/>
        <v>#VALUE!</v>
      </c>
      <c r="O43" s="90" t="e">
        <f t="shared" ca="1" si="30"/>
        <v>#VALUE!</v>
      </c>
      <c r="P43" s="91" t="e">
        <f t="shared" ca="1" si="9"/>
        <v>#VALUE!</v>
      </c>
      <c r="Q43" s="92" t="e">
        <f t="shared" ca="1" si="31"/>
        <v>#VALUE!</v>
      </c>
      <c r="R43" s="94" t="e">
        <f t="shared" ca="1" si="11"/>
        <v>#VALUE!</v>
      </c>
      <c r="S43" s="90" t="e">
        <f t="shared" ca="1" si="32"/>
        <v>#VALUE!</v>
      </c>
      <c r="T43" s="91" t="e">
        <f t="shared" ca="1" si="13"/>
        <v>#VALUE!</v>
      </c>
      <c r="U43" s="95" t="e">
        <f t="shared" ca="1" si="33"/>
        <v>#VALUE!</v>
      </c>
      <c r="V43" s="96" t="e">
        <f t="shared" ca="1" si="15"/>
        <v>#VALUE!</v>
      </c>
      <c r="W43" s="90" t="e">
        <f t="shared" ca="1" si="34"/>
        <v>#VALUE!</v>
      </c>
      <c r="X43" s="91" t="e">
        <f t="shared" ca="1" si="17"/>
        <v>#VALUE!</v>
      </c>
      <c r="Y43" s="95" t="e">
        <f t="shared" ca="1" si="35"/>
        <v>#VALUE!</v>
      </c>
      <c r="Z43" s="96" t="e">
        <f t="shared" ca="1" si="19"/>
        <v>#VALUE!</v>
      </c>
      <c r="AA43" s="90" t="e">
        <f t="shared" ca="1" si="20"/>
        <v>#VALUE!</v>
      </c>
      <c r="AB43" s="91" t="e">
        <f t="shared" ca="1" si="21"/>
        <v>#VALUE!</v>
      </c>
      <c r="AC43" s="95" t="e">
        <f t="shared" ca="1" si="22"/>
        <v>#VALUE!</v>
      </c>
      <c r="AD43" s="96" t="e">
        <f t="shared" ca="1" si="23"/>
        <v>#VALUE!</v>
      </c>
      <c r="AE43" s="90" t="e">
        <f t="shared" ca="1" si="1"/>
        <v>#VALUE!</v>
      </c>
      <c r="AF43" s="91" t="e">
        <f t="shared" ca="1" si="24"/>
        <v>#VALUE!</v>
      </c>
    </row>
    <row r="44" spans="2:32" s="76" customFormat="1" ht="24.75" customHeight="1">
      <c r="B44" s="633"/>
      <c r="C44" s="85">
        <v>41</v>
      </c>
      <c r="D44" s="174"/>
      <c r="E44" s="79"/>
      <c r="F44" s="173"/>
      <c r="G44" s="450">
        <f t="shared" ca="1" si="26"/>
        <v>0</v>
      </c>
      <c r="H44" s="239" t="e">
        <f t="shared" ca="1" si="25"/>
        <v>#DIV/0!</v>
      </c>
      <c r="I44" s="88" t="e">
        <f t="shared" ca="1" si="27"/>
        <v>#VALUE!</v>
      </c>
      <c r="J44" s="94" t="e">
        <f t="shared" ca="1" si="3"/>
        <v>#VALUE!</v>
      </c>
      <c r="K44" s="90" t="e">
        <f t="shared" ca="1" si="28"/>
        <v>#VALUE!</v>
      </c>
      <c r="L44" s="91" t="e">
        <f t="shared" ca="1" si="5"/>
        <v>#VALUE!</v>
      </c>
      <c r="M44" s="92" t="e">
        <f t="shared" ca="1" si="29"/>
        <v>#VALUE!</v>
      </c>
      <c r="N44" s="94" t="e">
        <f t="shared" ca="1" si="7"/>
        <v>#VALUE!</v>
      </c>
      <c r="O44" s="90" t="e">
        <f t="shared" ca="1" si="30"/>
        <v>#VALUE!</v>
      </c>
      <c r="P44" s="91" t="e">
        <f t="shared" ca="1" si="9"/>
        <v>#VALUE!</v>
      </c>
      <c r="Q44" s="92" t="e">
        <f t="shared" ca="1" si="31"/>
        <v>#VALUE!</v>
      </c>
      <c r="R44" s="94" t="e">
        <f t="shared" ca="1" si="11"/>
        <v>#VALUE!</v>
      </c>
      <c r="S44" s="90" t="e">
        <f t="shared" ca="1" si="32"/>
        <v>#VALUE!</v>
      </c>
      <c r="T44" s="91" t="e">
        <f t="shared" ca="1" si="13"/>
        <v>#VALUE!</v>
      </c>
      <c r="U44" s="95" t="e">
        <f t="shared" ca="1" si="33"/>
        <v>#VALUE!</v>
      </c>
      <c r="V44" s="96" t="e">
        <f t="shared" ca="1" si="15"/>
        <v>#VALUE!</v>
      </c>
      <c r="W44" s="90" t="e">
        <f t="shared" ca="1" si="34"/>
        <v>#VALUE!</v>
      </c>
      <c r="X44" s="91" t="e">
        <f t="shared" ca="1" si="17"/>
        <v>#VALUE!</v>
      </c>
      <c r="Y44" s="95" t="e">
        <f t="shared" ca="1" si="35"/>
        <v>#VALUE!</v>
      </c>
      <c r="Z44" s="96" t="e">
        <f t="shared" ca="1" si="19"/>
        <v>#VALUE!</v>
      </c>
      <c r="AA44" s="90" t="e">
        <f t="shared" ca="1" si="20"/>
        <v>#VALUE!</v>
      </c>
      <c r="AB44" s="91" t="e">
        <f t="shared" ca="1" si="21"/>
        <v>#VALUE!</v>
      </c>
      <c r="AC44" s="95" t="e">
        <f t="shared" ca="1" si="22"/>
        <v>#VALUE!</v>
      </c>
      <c r="AD44" s="96" t="e">
        <f t="shared" ca="1" si="23"/>
        <v>#VALUE!</v>
      </c>
      <c r="AE44" s="90" t="e">
        <f t="shared" ca="1" si="1"/>
        <v>#VALUE!</v>
      </c>
      <c r="AF44" s="91" t="e">
        <f t="shared" ca="1" si="24"/>
        <v>#VALUE!</v>
      </c>
    </row>
    <row r="45" spans="2:32" s="76" customFormat="1" ht="24.75" customHeight="1">
      <c r="B45" s="633"/>
      <c r="C45" s="85">
        <v>42</v>
      </c>
      <c r="D45" s="174"/>
      <c r="E45" s="79"/>
      <c r="F45" s="173"/>
      <c r="G45" s="450">
        <f t="shared" ca="1" si="26"/>
        <v>0</v>
      </c>
      <c r="H45" s="239" t="e">
        <f t="shared" ca="1" si="25"/>
        <v>#DIV/0!</v>
      </c>
      <c r="I45" s="88" t="e">
        <f t="shared" ca="1" si="27"/>
        <v>#VALUE!</v>
      </c>
      <c r="J45" s="94" t="e">
        <f t="shared" ca="1" si="3"/>
        <v>#VALUE!</v>
      </c>
      <c r="K45" s="90" t="e">
        <f t="shared" ca="1" si="28"/>
        <v>#VALUE!</v>
      </c>
      <c r="L45" s="91" t="e">
        <f t="shared" ca="1" si="5"/>
        <v>#VALUE!</v>
      </c>
      <c r="M45" s="92" t="e">
        <f t="shared" ca="1" si="29"/>
        <v>#VALUE!</v>
      </c>
      <c r="N45" s="94" t="e">
        <f t="shared" ca="1" si="7"/>
        <v>#VALUE!</v>
      </c>
      <c r="O45" s="90" t="e">
        <f t="shared" ca="1" si="30"/>
        <v>#VALUE!</v>
      </c>
      <c r="P45" s="91" t="e">
        <f t="shared" ca="1" si="9"/>
        <v>#VALUE!</v>
      </c>
      <c r="Q45" s="92" t="e">
        <f t="shared" ca="1" si="31"/>
        <v>#VALUE!</v>
      </c>
      <c r="R45" s="94" t="e">
        <f t="shared" ca="1" si="11"/>
        <v>#VALUE!</v>
      </c>
      <c r="S45" s="90" t="e">
        <f t="shared" ca="1" si="32"/>
        <v>#VALUE!</v>
      </c>
      <c r="T45" s="91" t="e">
        <f t="shared" ca="1" si="13"/>
        <v>#VALUE!</v>
      </c>
      <c r="U45" s="95" t="e">
        <f t="shared" ca="1" si="33"/>
        <v>#VALUE!</v>
      </c>
      <c r="V45" s="96" t="e">
        <f t="shared" ca="1" si="15"/>
        <v>#VALUE!</v>
      </c>
      <c r="W45" s="90" t="e">
        <f t="shared" ca="1" si="34"/>
        <v>#VALUE!</v>
      </c>
      <c r="X45" s="91" t="e">
        <f t="shared" ca="1" si="17"/>
        <v>#VALUE!</v>
      </c>
      <c r="Y45" s="95" t="e">
        <f t="shared" ca="1" si="35"/>
        <v>#VALUE!</v>
      </c>
      <c r="Z45" s="96" t="e">
        <f t="shared" ca="1" si="19"/>
        <v>#VALUE!</v>
      </c>
      <c r="AA45" s="90" t="e">
        <f t="shared" ca="1" si="20"/>
        <v>#VALUE!</v>
      </c>
      <c r="AB45" s="91" t="e">
        <f t="shared" ca="1" si="21"/>
        <v>#VALUE!</v>
      </c>
      <c r="AC45" s="95" t="e">
        <f t="shared" ca="1" si="22"/>
        <v>#VALUE!</v>
      </c>
      <c r="AD45" s="96" t="e">
        <f t="shared" ca="1" si="23"/>
        <v>#VALUE!</v>
      </c>
      <c r="AE45" s="90" t="e">
        <f t="shared" ca="1" si="1"/>
        <v>#VALUE!</v>
      </c>
      <c r="AF45" s="91" t="e">
        <f t="shared" ca="1" si="24"/>
        <v>#VALUE!</v>
      </c>
    </row>
    <row r="46" spans="2:32" s="76" customFormat="1" ht="24.75" customHeight="1">
      <c r="B46" s="633"/>
      <c r="C46" s="85">
        <v>43</v>
      </c>
      <c r="D46" s="174"/>
      <c r="E46" s="79"/>
      <c r="F46" s="178"/>
      <c r="G46" s="450">
        <f t="shared" ca="1" si="26"/>
        <v>0</v>
      </c>
      <c r="H46" s="239" t="e">
        <f t="shared" ca="1" si="25"/>
        <v>#DIV/0!</v>
      </c>
      <c r="I46" s="88" t="e">
        <f t="shared" ca="1" si="27"/>
        <v>#VALUE!</v>
      </c>
      <c r="J46" s="94" t="e">
        <f t="shared" ca="1" si="3"/>
        <v>#VALUE!</v>
      </c>
      <c r="K46" s="90" t="e">
        <f t="shared" ca="1" si="28"/>
        <v>#VALUE!</v>
      </c>
      <c r="L46" s="91" t="e">
        <f t="shared" ca="1" si="5"/>
        <v>#VALUE!</v>
      </c>
      <c r="M46" s="92" t="e">
        <f t="shared" ca="1" si="29"/>
        <v>#VALUE!</v>
      </c>
      <c r="N46" s="94" t="e">
        <f t="shared" ca="1" si="7"/>
        <v>#VALUE!</v>
      </c>
      <c r="O46" s="90" t="e">
        <f t="shared" ca="1" si="30"/>
        <v>#VALUE!</v>
      </c>
      <c r="P46" s="91" t="e">
        <f t="shared" ca="1" si="9"/>
        <v>#VALUE!</v>
      </c>
      <c r="Q46" s="92" t="e">
        <f t="shared" ca="1" si="31"/>
        <v>#VALUE!</v>
      </c>
      <c r="R46" s="94" t="e">
        <f t="shared" ca="1" si="11"/>
        <v>#VALUE!</v>
      </c>
      <c r="S46" s="90" t="e">
        <f t="shared" ca="1" si="32"/>
        <v>#VALUE!</v>
      </c>
      <c r="T46" s="91" t="e">
        <f t="shared" ca="1" si="13"/>
        <v>#VALUE!</v>
      </c>
      <c r="U46" s="95" t="e">
        <f t="shared" ca="1" si="33"/>
        <v>#VALUE!</v>
      </c>
      <c r="V46" s="96" t="e">
        <f t="shared" ca="1" si="15"/>
        <v>#VALUE!</v>
      </c>
      <c r="W46" s="90" t="e">
        <f t="shared" ca="1" si="34"/>
        <v>#VALUE!</v>
      </c>
      <c r="X46" s="91" t="e">
        <f t="shared" ca="1" si="17"/>
        <v>#VALUE!</v>
      </c>
      <c r="Y46" s="95" t="e">
        <f t="shared" ca="1" si="35"/>
        <v>#VALUE!</v>
      </c>
      <c r="Z46" s="96" t="e">
        <f t="shared" ca="1" si="19"/>
        <v>#VALUE!</v>
      </c>
      <c r="AA46" s="90" t="e">
        <f t="shared" ca="1" si="20"/>
        <v>#VALUE!</v>
      </c>
      <c r="AB46" s="91" t="e">
        <f t="shared" ca="1" si="21"/>
        <v>#VALUE!</v>
      </c>
      <c r="AC46" s="95" t="e">
        <f t="shared" ca="1" si="22"/>
        <v>#VALUE!</v>
      </c>
      <c r="AD46" s="96" t="e">
        <f t="shared" ca="1" si="23"/>
        <v>#VALUE!</v>
      </c>
      <c r="AE46" s="90" t="e">
        <f t="shared" ca="1" si="1"/>
        <v>#VALUE!</v>
      </c>
      <c r="AF46" s="91" t="e">
        <f t="shared" ca="1" si="24"/>
        <v>#VALUE!</v>
      </c>
    </row>
    <row r="47" spans="2:32" s="76" customFormat="1" ht="24.75" customHeight="1">
      <c r="B47" s="633"/>
      <c r="C47" s="85">
        <v>44</v>
      </c>
      <c r="D47" s="174"/>
      <c r="E47" s="79"/>
      <c r="F47" s="173"/>
      <c r="G47" s="450">
        <f t="shared" ca="1" si="26"/>
        <v>0</v>
      </c>
      <c r="H47" s="239" t="e">
        <f t="shared" ca="1" si="25"/>
        <v>#DIV/0!</v>
      </c>
      <c r="I47" s="88" t="e">
        <f t="shared" ca="1" si="27"/>
        <v>#VALUE!</v>
      </c>
      <c r="J47" s="94" t="e">
        <f t="shared" ca="1" si="3"/>
        <v>#VALUE!</v>
      </c>
      <c r="K47" s="90" t="e">
        <f t="shared" ca="1" si="28"/>
        <v>#VALUE!</v>
      </c>
      <c r="L47" s="91" t="e">
        <f t="shared" ca="1" si="5"/>
        <v>#VALUE!</v>
      </c>
      <c r="M47" s="92" t="e">
        <f t="shared" ca="1" si="29"/>
        <v>#VALUE!</v>
      </c>
      <c r="N47" s="94" t="e">
        <f t="shared" ca="1" si="7"/>
        <v>#VALUE!</v>
      </c>
      <c r="O47" s="90" t="e">
        <f t="shared" ca="1" si="30"/>
        <v>#VALUE!</v>
      </c>
      <c r="P47" s="91" t="e">
        <f t="shared" ca="1" si="9"/>
        <v>#VALUE!</v>
      </c>
      <c r="Q47" s="92" t="e">
        <f t="shared" ca="1" si="31"/>
        <v>#VALUE!</v>
      </c>
      <c r="R47" s="94" t="e">
        <f t="shared" ca="1" si="11"/>
        <v>#VALUE!</v>
      </c>
      <c r="S47" s="90" t="e">
        <f t="shared" ca="1" si="32"/>
        <v>#VALUE!</v>
      </c>
      <c r="T47" s="91" t="e">
        <f t="shared" ca="1" si="13"/>
        <v>#VALUE!</v>
      </c>
      <c r="U47" s="95" t="e">
        <f t="shared" ca="1" si="33"/>
        <v>#VALUE!</v>
      </c>
      <c r="V47" s="96" t="e">
        <f t="shared" ca="1" si="15"/>
        <v>#VALUE!</v>
      </c>
      <c r="W47" s="90" t="e">
        <f t="shared" ca="1" si="34"/>
        <v>#VALUE!</v>
      </c>
      <c r="X47" s="91" t="e">
        <f t="shared" ca="1" si="17"/>
        <v>#VALUE!</v>
      </c>
      <c r="Y47" s="95" t="e">
        <f t="shared" ca="1" si="35"/>
        <v>#VALUE!</v>
      </c>
      <c r="Z47" s="96" t="e">
        <f t="shared" ca="1" si="19"/>
        <v>#VALUE!</v>
      </c>
      <c r="AA47" s="90" t="e">
        <f t="shared" ca="1" si="20"/>
        <v>#VALUE!</v>
      </c>
      <c r="AB47" s="91" t="e">
        <f t="shared" ca="1" si="21"/>
        <v>#VALUE!</v>
      </c>
      <c r="AC47" s="95" t="e">
        <f t="shared" ca="1" si="22"/>
        <v>#VALUE!</v>
      </c>
      <c r="AD47" s="96" t="e">
        <f t="shared" ca="1" si="23"/>
        <v>#VALUE!</v>
      </c>
      <c r="AE47" s="90" t="e">
        <f t="shared" ca="1" si="1"/>
        <v>#VALUE!</v>
      </c>
      <c r="AF47" s="91" t="e">
        <f t="shared" ca="1" si="24"/>
        <v>#VALUE!</v>
      </c>
    </row>
    <row r="48" spans="2:32" s="76" customFormat="1" ht="24.75" customHeight="1">
      <c r="B48" s="633"/>
      <c r="C48" s="85">
        <v>45</v>
      </c>
      <c r="D48" s="174"/>
      <c r="E48" s="79"/>
      <c r="F48" s="173"/>
      <c r="G48" s="450">
        <f t="shared" ca="1" si="26"/>
        <v>0</v>
      </c>
      <c r="H48" s="239" t="e">
        <f t="shared" ca="1" si="25"/>
        <v>#DIV/0!</v>
      </c>
      <c r="I48" s="88" t="e">
        <f t="shared" ca="1" si="27"/>
        <v>#VALUE!</v>
      </c>
      <c r="J48" s="94" t="e">
        <f t="shared" ca="1" si="3"/>
        <v>#VALUE!</v>
      </c>
      <c r="K48" s="90" t="e">
        <f t="shared" ca="1" si="28"/>
        <v>#VALUE!</v>
      </c>
      <c r="L48" s="91" t="e">
        <f t="shared" ca="1" si="5"/>
        <v>#VALUE!</v>
      </c>
      <c r="M48" s="92" t="e">
        <f t="shared" ca="1" si="29"/>
        <v>#VALUE!</v>
      </c>
      <c r="N48" s="94" t="e">
        <f t="shared" ca="1" si="7"/>
        <v>#VALUE!</v>
      </c>
      <c r="O48" s="90" t="e">
        <f t="shared" ca="1" si="30"/>
        <v>#VALUE!</v>
      </c>
      <c r="P48" s="91" t="e">
        <f t="shared" ca="1" si="9"/>
        <v>#VALUE!</v>
      </c>
      <c r="Q48" s="92" t="e">
        <f t="shared" ca="1" si="31"/>
        <v>#VALUE!</v>
      </c>
      <c r="R48" s="94" t="e">
        <f t="shared" ca="1" si="11"/>
        <v>#VALUE!</v>
      </c>
      <c r="S48" s="90" t="e">
        <f t="shared" ca="1" si="32"/>
        <v>#VALUE!</v>
      </c>
      <c r="T48" s="91" t="e">
        <f t="shared" ca="1" si="13"/>
        <v>#VALUE!</v>
      </c>
      <c r="U48" s="95" t="e">
        <f t="shared" ca="1" si="33"/>
        <v>#VALUE!</v>
      </c>
      <c r="V48" s="96" t="e">
        <f t="shared" ca="1" si="15"/>
        <v>#VALUE!</v>
      </c>
      <c r="W48" s="90" t="e">
        <f t="shared" ca="1" si="34"/>
        <v>#VALUE!</v>
      </c>
      <c r="X48" s="91" t="e">
        <f t="shared" ca="1" si="17"/>
        <v>#VALUE!</v>
      </c>
      <c r="Y48" s="95" t="e">
        <f t="shared" ca="1" si="35"/>
        <v>#VALUE!</v>
      </c>
      <c r="Z48" s="96" t="e">
        <f t="shared" ca="1" si="19"/>
        <v>#VALUE!</v>
      </c>
      <c r="AA48" s="90" t="e">
        <f t="shared" ca="1" si="20"/>
        <v>#VALUE!</v>
      </c>
      <c r="AB48" s="91" t="e">
        <f t="shared" ca="1" si="21"/>
        <v>#VALUE!</v>
      </c>
      <c r="AC48" s="95" t="e">
        <f t="shared" ca="1" si="22"/>
        <v>#VALUE!</v>
      </c>
      <c r="AD48" s="96" t="e">
        <f t="shared" ca="1" si="23"/>
        <v>#VALUE!</v>
      </c>
      <c r="AE48" s="90" t="e">
        <f t="shared" ca="1" si="1"/>
        <v>#VALUE!</v>
      </c>
      <c r="AF48" s="91" t="e">
        <f t="shared" ca="1" si="24"/>
        <v>#VALUE!</v>
      </c>
    </row>
    <row r="49" spans="2:32" s="76" customFormat="1" ht="24.75" customHeight="1">
      <c r="B49" s="633"/>
      <c r="C49" s="85">
        <v>46</v>
      </c>
      <c r="D49" s="174"/>
      <c r="E49" s="79"/>
      <c r="F49" s="173"/>
      <c r="G49" s="450">
        <f t="shared" ca="1" si="26"/>
        <v>0</v>
      </c>
      <c r="H49" s="239" t="e">
        <f t="shared" ca="1" si="25"/>
        <v>#DIV/0!</v>
      </c>
      <c r="I49" s="88" t="e">
        <f t="shared" ca="1" si="27"/>
        <v>#VALUE!</v>
      </c>
      <c r="J49" s="94" t="e">
        <f t="shared" ca="1" si="3"/>
        <v>#VALUE!</v>
      </c>
      <c r="K49" s="90" t="e">
        <f t="shared" ca="1" si="28"/>
        <v>#VALUE!</v>
      </c>
      <c r="L49" s="91" t="e">
        <f t="shared" ca="1" si="5"/>
        <v>#VALUE!</v>
      </c>
      <c r="M49" s="92" t="e">
        <f t="shared" ca="1" si="29"/>
        <v>#VALUE!</v>
      </c>
      <c r="N49" s="94" t="e">
        <f t="shared" ca="1" si="7"/>
        <v>#VALUE!</v>
      </c>
      <c r="O49" s="90" t="e">
        <f t="shared" ca="1" si="30"/>
        <v>#VALUE!</v>
      </c>
      <c r="P49" s="91" t="e">
        <f t="shared" ca="1" si="9"/>
        <v>#VALUE!</v>
      </c>
      <c r="Q49" s="92" t="e">
        <f t="shared" ca="1" si="31"/>
        <v>#VALUE!</v>
      </c>
      <c r="R49" s="94" t="e">
        <f t="shared" ca="1" si="11"/>
        <v>#VALUE!</v>
      </c>
      <c r="S49" s="90" t="e">
        <f t="shared" ca="1" si="32"/>
        <v>#VALUE!</v>
      </c>
      <c r="T49" s="91" t="e">
        <f t="shared" ca="1" si="13"/>
        <v>#VALUE!</v>
      </c>
      <c r="U49" s="95" t="e">
        <f t="shared" ca="1" si="33"/>
        <v>#VALUE!</v>
      </c>
      <c r="V49" s="96" t="e">
        <f t="shared" ca="1" si="15"/>
        <v>#VALUE!</v>
      </c>
      <c r="W49" s="90" t="e">
        <f t="shared" ca="1" si="34"/>
        <v>#VALUE!</v>
      </c>
      <c r="X49" s="91" t="e">
        <f t="shared" ca="1" si="17"/>
        <v>#VALUE!</v>
      </c>
      <c r="Y49" s="95" t="e">
        <f t="shared" ca="1" si="35"/>
        <v>#VALUE!</v>
      </c>
      <c r="Z49" s="96" t="e">
        <f t="shared" ca="1" si="19"/>
        <v>#VALUE!</v>
      </c>
      <c r="AA49" s="90" t="e">
        <f t="shared" ca="1" si="20"/>
        <v>#VALUE!</v>
      </c>
      <c r="AB49" s="91" t="e">
        <f t="shared" ca="1" si="21"/>
        <v>#VALUE!</v>
      </c>
      <c r="AC49" s="95" t="e">
        <f t="shared" ca="1" si="22"/>
        <v>#VALUE!</v>
      </c>
      <c r="AD49" s="96" t="e">
        <f t="shared" ca="1" si="23"/>
        <v>#VALUE!</v>
      </c>
      <c r="AE49" s="90" t="e">
        <f t="shared" ca="1" si="1"/>
        <v>#VALUE!</v>
      </c>
      <c r="AF49" s="91" t="e">
        <f t="shared" ca="1" si="24"/>
        <v>#VALUE!</v>
      </c>
    </row>
    <row r="50" spans="2:32" s="76" customFormat="1" ht="24.75" customHeight="1">
      <c r="B50" s="633"/>
      <c r="C50" s="85">
        <v>47</v>
      </c>
      <c r="D50" s="174"/>
      <c r="E50" s="79"/>
      <c r="F50" s="173"/>
      <c r="G50" s="450">
        <f t="shared" ca="1" si="26"/>
        <v>0</v>
      </c>
      <c r="H50" s="239" t="e">
        <f t="shared" ca="1" si="25"/>
        <v>#DIV/0!</v>
      </c>
      <c r="I50" s="88" t="e">
        <f t="shared" ca="1" si="27"/>
        <v>#VALUE!</v>
      </c>
      <c r="J50" s="94" t="e">
        <f t="shared" ca="1" si="3"/>
        <v>#VALUE!</v>
      </c>
      <c r="K50" s="90" t="e">
        <f t="shared" ca="1" si="28"/>
        <v>#VALUE!</v>
      </c>
      <c r="L50" s="91" t="e">
        <f t="shared" ca="1" si="5"/>
        <v>#VALUE!</v>
      </c>
      <c r="M50" s="92" t="e">
        <f t="shared" ca="1" si="29"/>
        <v>#VALUE!</v>
      </c>
      <c r="N50" s="94" t="e">
        <f t="shared" ca="1" si="7"/>
        <v>#VALUE!</v>
      </c>
      <c r="O50" s="90" t="e">
        <f t="shared" ca="1" si="30"/>
        <v>#VALUE!</v>
      </c>
      <c r="P50" s="91" t="e">
        <f t="shared" ca="1" si="9"/>
        <v>#VALUE!</v>
      </c>
      <c r="Q50" s="92" t="e">
        <f t="shared" ca="1" si="31"/>
        <v>#VALUE!</v>
      </c>
      <c r="R50" s="94" t="e">
        <f t="shared" ca="1" si="11"/>
        <v>#VALUE!</v>
      </c>
      <c r="S50" s="90" t="e">
        <f t="shared" ca="1" si="32"/>
        <v>#VALUE!</v>
      </c>
      <c r="T50" s="91" t="e">
        <f t="shared" ca="1" si="13"/>
        <v>#VALUE!</v>
      </c>
      <c r="U50" s="95" t="e">
        <f t="shared" ca="1" si="33"/>
        <v>#VALUE!</v>
      </c>
      <c r="V50" s="96" t="e">
        <f t="shared" ca="1" si="15"/>
        <v>#VALUE!</v>
      </c>
      <c r="W50" s="90" t="e">
        <f t="shared" ca="1" si="34"/>
        <v>#VALUE!</v>
      </c>
      <c r="X50" s="91" t="e">
        <f t="shared" ca="1" si="17"/>
        <v>#VALUE!</v>
      </c>
      <c r="Y50" s="95" t="e">
        <f t="shared" ca="1" si="35"/>
        <v>#VALUE!</v>
      </c>
      <c r="Z50" s="96" t="e">
        <f t="shared" ca="1" si="19"/>
        <v>#VALUE!</v>
      </c>
      <c r="AA50" s="90" t="e">
        <f t="shared" ca="1" si="20"/>
        <v>#VALUE!</v>
      </c>
      <c r="AB50" s="91" t="e">
        <f t="shared" ca="1" si="21"/>
        <v>#VALUE!</v>
      </c>
      <c r="AC50" s="95" t="e">
        <f t="shared" ca="1" si="22"/>
        <v>#VALUE!</v>
      </c>
      <c r="AD50" s="96" t="e">
        <f t="shared" ca="1" si="23"/>
        <v>#VALUE!</v>
      </c>
      <c r="AE50" s="90" t="e">
        <f t="shared" ca="1" si="1"/>
        <v>#VALUE!</v>
      </c>
      <c r="AF50" s="91" t="e">
        <f t="shared" ca="1" si="24"/>
        <v>#VALUE!</v>
      </c>
    </row>
    <row r="51" spans="2:32" s="76" customFormat="1" ht="24.75" customHeight="1">
      <c r="B51" s="633"/>
      <c r="C51" s="85">
        <v>48</v>
      </c>
      <c r="D51" s="174"/>
      <c r="E51" s="79"/>
      <c r="F51" s="173"/>
      <c r="G51" s="450">
        <f t="shared" ca="1" si="26"/>
        <v>0</v>
      </c>
      <c r="H51" s="239" t="e">
        <f t="shared" ca="1" si="25"/>
        <v>#DIV/0!</v>
      </c>
      <c r="I51" s="88" t="e">
        <f t="shared" ca="1" si="27"/>
        <v>#VALUE!</v>
      </c>
      <c r="J51" s="94" t="e">
        <f t="shared" ca="1" si="3"/>
        <v>#VALUE!</v>
      </c>
      <c r="K51" s="90" t="e">
        <f t="shared" ca="1" si="28"/>
        <v>#VALUE!</v>
      </c>
      <c r="L51" s="91" t="e">
        <f t="shared" ca="1" si="5"/>
        <v>#VALUE!</v>
      </c>
      <c r="M51" s="92" t="e">
        <f t="shared" ca="1" si="29"/>
        <v>#VALUE!</v>
      </c>
      <c r="N51" s="94" t="e">
        <f t="shared" ca="1" si="7"/>
        <v>#VALUE!</v>
      </c>
      <c r="O51" s="90" t="e">
        <f t="shared" ca="1" si="30"/>
        <v>#VALUE!</v>
      </c>
      <c r="P51" s="91" t="e">
        <f t="shared" ca="1" si="9"/>
        <v>#VALUE!</v>
      </c>
      <c r="Q51" s="92" t="e">
        <f t="shared" ca="1" si="31"/>
        <v>#VALUE!</v>
      </c>
      <c r="R51" s="94" t="e">
        <f t="shared" ca="1" si="11"/>
        <v>#VALUE!</v>
      </c>
      <c r="S51" s="90" t="e">
        <f t="shared" ca="1" si="32"/>
        <v>#VALUE!</v>
      </c>
      <c r="T51" s="91" t="e">
        <f t="shared" ca="1" si="13"/>
        <v>#VALUE!</v>
      </c>
      <c r="U51" s="95" t="e">
        <f t="shared" ca="1" si="33"/>
        <v>#VALUE!</v>
      </c>
      <c r="V51" s="96" t="e">
        <f t="shared" ca="1" si="15"/>
        <v>#VALUE!</v>
      </c>
      <c r="W51" s="90" t="e">
        <f t="shared" ca="1" si="34"/>
        <v>#VALUE!</v>
      </c>
      <c r="X51" s="91" t="e">
        <f t="shared" ca="1" si="17"/>
        <v>#VALUE!</v>
      </c>
      <c r="Y51" s="95" t="e">
        <f t="shared" ca="1" si="35"/>
        <v>#VALUE!</v>
      </c>
      <c r="Z51" s="96" t="e">
        <f t="shared" ca="1" si="19"/>
        <v>#VALUE!</v>
      </c>
      <c r="AA51" s="90" t="e">
        <f t="shared" ca="1" si="20"/>
        <v>#VALUE!</v>
      </c>
      <c r="AB51" s="91" t="e">
        <f t="shared" ca="1" si="21"/>
        <v>#VALUE!</v>
      </c>
      <c r="AC51" s="95" t="e">
        <f t="shared" ca="1" si="22"/>
        <v>#VALUE!</v>
      </c>
      <c r="AD51" s="96" t="e">
        <f t="shared" ca="1" si="23"/>
        <v>#VALUE!</v>
      </c>
      <c r="AE51" s="90" t="e">
        <f t="shared" ca="1" si="1"/>
        <v>#VALUE!</v>
      </c>
      <c r="AF51" s="91" t="e">
        <f t="shared" ca="1" si="24"/>
        <v>#VALUE!</v>
      </c>
    </row>
    <row r="52" spans="2:32" s="76" customFormat="1" ht="24.75" customHeight="1">
      <c r="B52" s="633"/>
      <c r="C52" s="85">
        <v>49</v>
      </c>
      <c r="D52" s="174"/>
      <c r="E52" s="79"/>
      <c r="F52" s="173"/>
      <c r="G52" s="450">
        <f t="shared" ca="1" si="26"/>
        <v>0</v>
      </c>
      <c r="H52" s="239" t="e">
        <f ca="1">G52/$G$56</f>
        <v>#DIV/0!</v>
      </c>
      <c r="I52" s="88" t="e">
        <f t="shared" ca="1" si="27"/>
        <v>#VALUE!</v>
      </c>
      <c r="J52" s="94" t="e">
        <f ca="1">I52/$I$56</f>
        <v>#VALUE!</v>
      </c>
      <c r="K52" s="90" t="e">
        <f t="shared" ca="1" si="28"/>
        <v>#VALUE!</v>
      </c>
      <c r="L52" s="91" t="e">
        <f ca="1">K52/$K$56</f>
        <v>#VALUE!</v>
      </c>
      <c r="M52" s="92" t="e">
        <f t="shared" ca="1" si="29"/>
        <v>#VALUE!</v>
      </c>
      <c r="N52" s="94" t="e">
        <f ca="1">M52/$M$56</f>
        <v>#VALUE!</v>
      </c>
      <c r="O52" s="90" t="e">
        <f t="shared" ca="1" si="30"/>
        <v>#VALUE!</v>
      </c>
      <c r="P52" s="91" t="e">
        <f ca="1">O52/$O$56</f>
        <v>#VALUE!</v>
      </c>
      <c r="Q52" s="92" t="e">
        <f t="shared" ca="1" si="31"/>
        <v>#VALUE!</v>
      </c>
      <c r="R52" s="94" t="e">
        <f ca="1">Q52/$Q$56</f>
        <v>#VALUE!</v>
      </c>
      <c r="S52" s="90" t="e">
        <f t="shared" ca="1" si="32"/>
        <v>#VALUE!</v>
      </c>
      <c r="T52" s="91" t="e">
        <f ca="1">S52/$S$56</f>
        <v>#VALUE!</v>
      </c>
      <c r="U52" s="95" t="e">
        <f t="shared" ca="1" si="33"/>
        <v>#VALUE!</v>
      </c>
      <c r="V52" s="96" t="e">
        <f ca="1">U52/$U$56</f>
        <v>#VALUE!</v>
      </c>
      <c r="W52" s="90" t="e">
        <f t="shared" ca="1" si="34"/>
        <v>#VALUE!</v>
      </c>
      <c r="X52" s="91" t="e">
        <f ca="1">W52/$W$56</f>
        <v>#VALUE!</v>
      </c>
      <c r="Y52" s="95" t="e">
        <f t="shared" ca="1" si="35"/>
        <v>#VALUE!</v>
      </c>
      <c r="Z52" s="96" t="e">
        <f ca="1">Y52/$Y$56</f>
        <v>#VALUE!</v>
      </c>
      <c r="AA52" s="90" t="e">
        <f t="shared" ca="1" si="20"/>
        <v>#VALUE!</v>
      </c>
      <c r="AB52" s="91" t="e">
        <f ca="1">AA52/$AA$56</f>
        <v>#VALUE!</v>
      </c>
      <c r="AC52" s="95" t="e">
        <f t="shared" ca="1" si="22"/>
        <v>#VALUE!</v>
      </c>
      <c r="AD52" s="96" t="e">
        <f ca="1">AC52/$AC$56</f>
        <v>#VALUE!</v>
      </c>
      <c r="AE52" s="90" t="e">
        <f ca="1">SUM(G52,I52,K52,M52,O52,Q52,S52,U52,W52,Y52,AA52,AC52)</f>
        <v>#VALUE!</v>
      </c>
      <c r="AF52" s="91" t="e">
        <f ca="1">AE52/SUM($AE$4:$AE$55)</f>
        <v>#VALUE!</v>
      </c>
    </row>
    <row r="53" spans="2:32" s="76" customFormat="1" ht="24.75" customHeight="1">
      <c r="B53" s="633"/>
      <c r="C53" s="85">
        <v>50</v>
      </c>
      <c r="D53" s="174"/>
      <c r="E53" s="79"/>
      <c r="F53" s="79"/>
      <c r="G53" s="450">
        <f t="shared" ca="1" si="26"/>
        <v>0</v>
      </c>
      <c r="H53" s="239" t="e">
        <f t="shared" ca="1" si="25"/>
        <v>#DIV/0!</v>
      </c>
      <c r="I53" s="88" t="e">
        <f t="shared" ca="1" si="27"/>
        <v>#VALUE!</v>
      </c>
      <c r="J53" s="94" t="e">
        <f t="shared" ca="1" si="3"/>
        <v>#VALUE!</v>
      </c>
      <c r="K53" s="90" t="e">
        <f t="shared" ca="1" si="28"/>
        <v>#VALUE!</v>
      </c>
      <c r="L53" s="91" t="e">
        <f t="shared" ca="1" si="5"/>
        <v>#VALUE!</v>
      </c>
      <c r="M53" s="92" t="e">
        <f t="shared" ca="1" si="29"/>
        <v>#VALUE!</v>
      </c>
      <c r="N53" s="94" t="e">
        <f t="shared" ca="1" si="7"/>
        <v>#VALUE!</v>
      </c>
      <c r="O53" s="90" t="e">
        <f t="shared" ca="1" si="30"/>
        <v>#VALUE!</v>
      </c>
      <c r="P53" s="91" t="e">
        <f t="shared" ca="1" si="9"/>
        <v>#VALUE!</v>
      </c>
      <c r="Q53" s="92" t="e">
        <f t="shared" ca="1" si="31"/>
        <v>#VALUE!</v>
      </c>
      <c r="R53" s="94" t="e">
        <f t="shared" ca="1" si="11"/>
        <v>#VALUE!</v>
      </c>
      <c r="S53" s="90" t="e">
        <f t="shared" ca="1" si="32"/>
        <v>#VALUE!</v>
      </c>
      <c r="T53" s="91" t="e">
        <f t="shared" ca="1" si="13"/>
        <v>#VALUE!</v>
      </c>
      <c r="U53" s="95" t="e">
        <f t="shared" ca="1" si="33"/>
        <v>#VALUE!</v>
      </c>
      <c r="V53" s="96" t="e">
        <f t="shared" ca="1" si="15"/>
        <v>#VALUE!</v>
      </c>
      <c r="W53" s="90" t="e">
        <f t="shared" ca="1" si="34"/>
        <v>#VALUE!</v>
      </c>
      <c r="X53" s="91" t="e">
        <f t="shared" ca="1" si="17"/>
        <v>#VALUE!</v>
      </c>
      <c r="Y53" s="95" t="e">
        <f t="shared" ca="1" si="35"/>
        <v>#VALUE!</v>
      </c>
      <c r="Z53" s="96" t="e">
        <f t="shared" ca="1" si="19"/>
        <v>#VALUE!</v>
      </c>
      <c r="AA53" s="90" t="e">
        <f t="shared" ca="1" si="20"/>
        <v>#VALUE!</v>
      </c>
      <c r="AB53" s="91" t="e">
        <f t="shared" ca="1" si="21"/>
        <v>#VALUE!</v>
      </c>
      <c r="AC53" s="95" t="e">
        <f t="shared" ca="1" si="22"/>
        <v>#VALUE!</v>
      </c>
      <c r="AD53" s="96" t="e">
        <f t="shared" ca="1" si="23"/>
        <v>#VALUE!</v>
      </c>
      <c r="AE53" s="90" t="e">
        <f t="shared" ca="1" si="1"/>
        <v>#VALUE!</v>
      </c>
      <c r="AF53" s="91" t="e">
        <f t="shared" ca="1" si="24"/>
        <v>#VALUE!</v>
      </c>
    </row>
    <row r="54" spans="2:32" s="76" customFormat="1" ht="24.75" customHeight="1">
      <c r="B54" s="633"/>
      <c r="C54" s="85">
        <v>51</v>
      </c>
      <c r="D54" s="174"/>
      <c r="E54" s="79"/>
      <c r="F54" s="173"/>
      <c r="G54" s="450">
        <f t="shared" ca="1" si="26"/>
        <v>0</v>
      </c>
      <c r="H54" s="239" t="e">
        <f t="shared" ca="1" si="25"/>
        <v>#DIV/0!</v>
      </c>
      <c r="I54" s="88" t="e">
        <f t="shared" ca="1" si="27"/>
        <v>#VALUE!</v>
      </c>
      <c r="J54" s="94" t="e">
        <f t="shared" ca="1" si="3"/>
        <v>#VALUE!</v>
      </c>
      <c r="K54" s="90" t="e">
        <f t="shared" ca="1" si="28"/>
        <v>#VALUE!</v>
      </c>
      <c r="L54" s="91" t="e">
        <f t="shared" ca="1" si="5"/>
        <v>#VALUE!</v>
      </c>
      <c r="M54" s="92" t="e">
        <f t="shared" ca="1" si="29"/>
        <v>#VALUE!</v>
      </c>
      <c r="N54" s="94" t="e">
        <f t="shared" ca="1" si="7"/>
        <v>#VALUE!</v>
      </c>
      <c r="O54" s="90" t="e">
        <f t="shared" ca="1" si="30"/>
        <v>#VALUE!</v>
      </c>
      <c r="P54" s="91" t="e">
        <f t="shared" ca="1" si="9"/>
        <v>#VALUE!</v>
      </c>
      <c r="Q54" s="92" t="e">
        <f t="shared" ca="1" si="31"/>
        <v>#VALUE!</v>
      </c>
      <c r="R54" s="94" t="e">
        <f t="shared" ca="1" si="11"/>
        <v>#VALUE!</v>
      </c>
      <c r="S54" s="90" t="e">
        <f t="shared" ca="1" si="32"/>
        <v>#VALUE!</v>
      </c>
      <c r="T54" s="91" t="e">
        <f t="shared" ca="1" si="13"/>
        <v>#VALUE!</v>
      </c>
      <c r="U54" s="95" t="e">
        <f t="shared" ca="1" si="33"/>
        <v>#VALUE!</v>
      </c>
      <c r="V54" s="96" t="e">
        <f t="shared" ca="1" si="15"/>
        <v>#VALUE!</v>
      </c>
      <c r="W54" s="90" t="e">
        <f t="shared" ca="1" si="34"/>
        <v>#VALUE!</v>
      </c>
      <c r="X54" s="91" t="e">
        <f t="shared" ca="1" si="17"/>
        <v>#VALUE!</v>
      </c>
      <c r="Y54" s="95" t="e">
        <f t="shared" ca="1" si="35"/>
        <v>#VALUE!</v>
      </c>
      <c r="Z54" s="96" t="e">
        <f t="shared" ca="1" si="19"/>
        <v>#VALUE!</v>
      </c>
      <c r="AA54" s="90" t="e">
        <f t="shared" ca="1" si="20"/>
        <v>#VALUE!</v>
      </c>
      <c r="AB54" s="91" t="e">
        <f t="shared" ca="1" si="21"/>
        <v>#VALUE!</v>
      </c>
      <c r="AC54" s="95" t="e">
        <f t="shared" ca="1" si="22"/>
        <v>#VALUE!</v>
      </c>
      <c r="AD54" s="96" t="e">
        <f t="shared" ca="1" si="23"/>
        <v>#VALUE!</v>
      </c>
      <c r="AE54" s="90" t="e">
        <f t="shared" ca="1" si="1"/>
        <v>#VALUE!</v>
      </c>
      <c r="AF54" s="91" t="e">
        <f t="shared" ca="1" si="24"/>
        <v>#VALUE!</v>
      </c>
    </row>
    <row r="55" spans="2:32" s="76" customFormat="1" ht="24.75" customHeight="1" thickBot="1">
      <c r="B55" s="634"/>
      <c r="C55" s="89">
        <v>52</v>
      </c>
      <c r="D55" s="296"/>
      <c r="E55" s="297"/>
      <c r="F55" s="297"/>
      <c r="G55" s="451">
        <f t="shared" ca="1" si="26"/>
        <v>0</v>
      </c>
      <c r="H55" s="298" t="e">
        <f t="shared" ca="1" si="25"/>
        <v>#DIV/0!</v>
      </c>
      <c r="I55" s="93" t="e">
        <f t="shared" ca="1" si="27"/>
        <v>#VALUE!</v>
      </c>
      <c r="J55" s="299" t="e">
        <f t="shared" ca="1" si="3"/>
        <v>#VALUE!</v>
      </c>
      <c r="K55" s="300" t="e">
        <f t="shared" ca="1" si="28"/>
        <v>#VALUE!</v>
      </c>
      <c r="L55" s="301" t="e">
        <f t="shared" ca="1" si="5"/>
        <v>#VALUE!</v>
      </c>
      <c r="M55" s="302" t="e">
        <f t="shared" ca="1" si="29"/>
        <v>#VALUE!</v>
      </c>
      <c r="N55" s="299" t="e">
        <f t="shared" ca="1" si="7"/>
        <v>#VALUE!</v>
      </c>
      <c r="O55" s="300" t="e">
        <f t="shared" ca="1" si="30"/>
        <v>#VALUE!</v>
      </c>
      <c r="P55" s="301" t="e">
        <f t="shared" ca="1" si="9"/>
        <v>#VALUE!</v>
      </c>
      <c r="Q55" s="302" t="e">
        <f t="shared" ca="1" si="31"/>
        <v>#VALUE!</v>
      </c>
      <c r="R55" s="299" t="e">
        <f t="shared" ca="1" si="11"/>
        <v>#VALUE!</v>
      </c>
      <c r="S55" s="300" t="e">
        <f t="shared" ca="1" si="32"/>
        <v>#VALUE!</v>
      </c>
      <c r="T55" s="301" t="e">
        <f t="shared" ca="1" si="13"/>
        <v>#VALUE!</v>
      </c>
      <c r="U55" s="303" t="e">
        <f t="shared" ca="1" si="33"/>
        <v>#VALUE!</v>
      </c>
      <c r="V55" s="304" t="e">
        <f t="shared" ca="1" si="15"/>
        <v>#VALUE!</v>
      </c>
      <c r="W55" s="300" t="e">
        <f t="shared" ca="1" si="34"/>
        <v>#VALUE!</v>
      </c>
      <c r="X55" s="301" t="e">
        <f t="shared" ca="1" si="17"/>
        <v>#VALUE!</v>
      </c>
      <c r="Y55" s="303" t="e">
        <f t="shared" ca="1" si="35"/>
        <v>#VALUE!</v>
      </c>
      <c r="Z55" s="304" t="e">
        <f t="shared" ca="1" si="19"/>
        <v>#VALUE!</v>
      </c>
      <c r="AA55" s="300" t="e">
        <f t="shared" ca="1" si="20"/>
        <v>#VALUE!</v>
      </c>
      <c r="AB55" s="301" t="e">
        <f t="shared" ca="1" si="21"/>
        <v>#VALUE!</v>
      </c>
      <c r="AC55" s="303" t="e">
        <f t="shared" ca="1" si="22"/>
        <v>#VALUE!</v>
      </c>
      <c r="AD55" s="304" t="e">
        <f t="shared" ca="1" si="23"/>
        <v>#VALUE!</v>
      </c>
      <c r="AE55" s="300" t="e">
        <f t="shared" ca="1" si="1"/>
        <v>#VALUE!</v>
      </c>
      <c r="AF55" s="301" t="e">
        <f t="shared" ca="1" si="24"/>
        <v>#VALUE!</v>
      </c>
    </row>
    <row r="56" spans="2:32" ht="23.25" customHeight="1">
      <c r="C56" s="247"/>
      <c r="D56" s="245"/>
      <c r="E56" s="245"/>
      <c r="F56" s="248" t="s">
        <v>106</v>
      </c>
      <c r="G56" s="452">
        <f ca="1">SUM(G4:G55)</f>
        <v>0</v>
      </c>
      <c r="H56" s="252" t="e">
        <f ca="1">G56/G56</f>
        <v>#DIV/0!</v>
      </c>
      <c r="I56" s="240" t="e">
        <f ca="1">SUM(I4:I55)</f>
        <v>#VALUE!</v>
      </c>
      <c r="J56" s="252" t="e">
        <f ca="1">I56/I56</f>
        <v>#VALUE!</v>
      </c>
      <c r="K56" s="240" t="e">
        <f ca="1">SUM(K4:K55)</f>
        <v>#VALUE!</v>
      </c>
      <c r="L56" s="252" t="e">
        <f ca="1">K56/K56</f>
        <v>#VALUE!</v>
      </c>
      <c r="M56" s="240" t="e">
        <f ca="1">SUM(M4:M55)</f>
        <v>#VALUE!</v>
      </c>
      <c r="N56" s="252" t="e">
        <f ca="1">M56/M56</f>
        <v>#VALUE!</v>
      </c>
      <c r="O56" s="240" t="e">
        <f ca="1">SUM(O4:O55)</f>
        <v>#VALUE!</v>
      </c>
      <c r="P56" s="238" t="e">
        <f ca="1">O56/O56</f>
        <v>#VALUE!</v>
      </c>
      <c r="Q56" s="240" t="e">
        <f ca="1">SUM(Q4:Q55)</f>
        <v>#VALUE!</v>
      </c>
      <c r="R56" s="252" t="e">
        <f ca="1">Q56/Q56</f>
        <v>#VALUE!</v>
      </c>
      <c r="S56" s="240" t="e">
        <f ca="1">SUM(S4:S55)</f>
        <v>#VALUE!</v>
      </c>
      <c r="T56" s="252" t="e">
        <f ca="1">S56/S56</f>
        <v>#VALUE!</v>
      </c>
      <c r="U56" s="240" t="e">
        <f ca="1">SUM(U4:U55)</f>
        <v>#VALUE!</v>
      </c>
      <c r="V56" s="238" t="e">
        <f ca="1">U56/U56</f>
        <v>#VALUE!</v>
      </c>
      <c r="W56" s="240" t="e">
        <f ca="1">SUM(W4:W55)</f>
        <v>#VALUE!</v>
      </c>
      <c r="X56" s="252" t="e">
        <f ca="1">W56/W56</f>
        <v>#VALUE!</v>
      </c>
      <c r="Y56" s="240" t="e">
        <f ca="1">SUM(Y4:Y55)</f>
        <v>#VALUE!</v>
      </c>
      <c r="Z56" s="252" t="e">
        <f ca="1">Y56/Y56</f>
        <v>#VALUE!</v>
      </c>
      <c r="AA56" s="240" t="e">
        <f ca="1">SUM(AA4:AA55)</f>
        <v>#VALUE!</v>
      </c>
      <c r="AB56" s="252" t="e">
        <f ca="1">AA56/AA56</f>
        <v>#VALUE!</v>
      </c>
      <c r="AC56" s="240" t="e">
        <f ca="1">SUM(AC4:AC55)</f>
        <v>#VALUE!</v>
      </c>
      <c r="AD56" s="252" t="e">
        <f ca="1">AC56/AC56</f>
        <v>#VALUE!</v>
      </c>
      <c r="AE56" s="240" t="e">
        <f ca="1">SUM(AE4:AE55)</f>
        <v>#VALUE!</v>
      </c>
      <c r="AF56" s="252" t="e">
        <f ca="1">AE56/AE56</f>
        <v>#VALUE!</v>
      </c>
    </row>
    <row r="57" spans="2:32">
      <c r="AD57" s="271" t="e">
        <f ca="1">AC57/$AC$56</f>
        <v>#VALUE!</v>
      </c>
    </row>
    <row r="58" spans="2:32" s="258" customFormat="1" ht="24.75" customHeight="1">
      <c r="B58" s="272"/>
      <c r="C58" s="255"/>
      <c r="D58" s="256"/>
      <c r="E58" s="257"/>
      <c r="F58" s="257"/>
      <c r="G58" s="454"/>
      <c r="H58" s="273"/>
      <c r="I58" s="253"/>
      <c r="J58" s="254"/>
      <c r="K58" s="253"/>
      <c r="L58" s="254"/>
      <c r="M58" s="253"/>
      <c r="N58" s="254"/>
      <c r="O58" s="253"/>
      <c r="P58" s="254"/>
      <c r="Q58" s="253"/>
      <c r="R58" s="254"/>
      <c r="S58" s="253"/>
      <c r="T58" s="254"/>
      <c r="U58" s="253"/>
      <c r="V58" s="254"/>
      <c r="W58" s="253"/>
      <c r="X58" s="254"/>
      <c r="Y58" s="253"/>
      <c r="Z58" s="254"/>
      <c r="AA58" s="253"/>
      <c r="AB58" s="254"/>
      <c r="AC58" s="253"/>
      <c r="AD58" s="254"/>
    </row>
  </sheetData>
  <sheetProtection formatCells="0"/>
  <mergeCells count="2">
    <mergeCell ref="B4:B35"/>
    <mergeCell ref="B36:B5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4"/>
  <dimension ref="A3:F17"/>
  <sheetViews>
    <sheetView showGridLines="0" tabSelected="1" workbookViewId="0">
      <selection activeCell="B5" sqref="B5"/>
    </sheetView>
  </sheetViews>
  <sheetFormatPr baseColWidth="10" defaultColWidth="8.83203125" defaultRowHeight="13"/>
  <cols>
    <col min="1" max="1" width="17.1640625" bestFit="1" customWidth="1"/>
    <col min="2" max="2" width="36.5" bestFit="1" customWidth="1"/>
    <col min="3" max="3" width="37" bestFit="1" customWidth="1"/>
    <col min="4" max="4" width="37.6640625" bestFit="1" customWidth="1"/>
    <col min="5" max="5" width="20.83203125" bestFit="1" customWidth="1"/>
    <col min="6" max="6" width="24.1640625" bestFit="1" customWidth="1"/>
  </cols>
  <sheetData>
    <row r="3" spans="1:6">
      <c r="B3" s="250" t="s">
        <v>108</v>
      </c>
    </row>
    <row r="4" spans="1:6">
      <c r="A4" s="250" t="s">
        <v>107</v>
      </c>
      <c r="B4" s="336" t="s">
        <v>110</v>
      </c>
      <c r="C4" s="336" t="s">
        <v>111</v>
      </c>
      <c r="D4" s="336" t="s">
        <v>128</v>
      </c>
      <c r="E4" s="336" t="s">
        <v>116</v>
      </c>
      <c r="F4" s="336" t="s">
        <v>117</v>
      </c>
    </row>
    <row r="5" spans="1:6">
      <c r="A5" s="260" t="s">
        <v>37</v>
      </c>
      <c r="B5" s="179"/>
      <c r="C5" s="179"/>
      <c r="D5" s="179">
        <v>0</v>
      </c>
      <c r="E5" s="179">
        <v>0</v>
      </c>
      <c r="F5" s="179">
        <v>0</v>
      </c>
    </row>
    <row r="6" spans="1:6">
      <c r="A6" s="260" t="s">
        <v>38</v>
      </c>
      <c r="B6" s="179"/>
      <c r="C6" s="179"/>
      <c r="D6" s="179">
        <v>0</v>
      </c>
      <c r="E6" s="179">
        <v>0</v>
      </c>
      <c r="F6" s="179">
        <v>0</v>
      </c>
    </row>
    <row r="7" spans="1:6">
      <c r="A7" s="260" t="s">
        <v>39</v>
      </c>
      <c r="B7" s="179"/>
      <c r="C7" s="179"/>
      <c r="D7" s="179">
        <v>0</v>
      </c>
      <c r="E7" s="179">
        <v>0</v>
      </c>
      <c r="F7" s="179">
        <v>0</v>
      </c>
    </row>
    <row r="8" spans="1:6">
      <c r="A8" s="260" t="s">
        <v>40</v>
      </c>
      <c r="B8" s="179"/>
      <c r="C8" s="179"/>
      <c r="D8" s="179">
        <v>0</v>
      </c>
      <c r="E8" s="179">
        <v>0</v>
      </c>
      <c r="F8" s="179">
        <v>0</v>
      </c>
    </row>
    <row r="9" spans="1:6">
      <c r="A9" s="260" t="s">
        <v>41</v>
      </c>
      <c r="B9" s="179"/>
      <c r="C9" s="179"/>
      <c r="D9" s="179">
        <v>0</v>
      </c>
      <c r="E9" s="179">
        <v>0</v>
      </c>
      <c r="F9" s="179">
        <v>190</v>
      </c>
    </row>
    <row r="10" spans="1:6">
      <c r="A10" s="260" t="s">
        <v>42</v>
      </c>
      <c r="B10" s="179"/>
      <c r="C10" s="179"/>
      <c r="D10" s="179">
        <v>0</v>
      </c>
      <c r="E10" s="179">
        <v>0</v>
      </c>
      <c r="F10" s="179">
        <v>0</v>
      </c>
    </row>
    <row r="11" spans="1:6">
      <c r="A11" s="260" t="s">
        <v>43</v>
      </c>
      <c r="B11" s="179"/>
      <c r="C11" s="179"/>
      <c r="D11" s="179">
        <v>0</v>
      </c>
      <c r="E11" s="179">
        <v>0</v>
      </c>
      <c r="F11" s="179">
        <v>0</v>
      </c>
    </row>
    <row r="12" spans="1:6">
      <c r="A12" s="260" t="s">
        <v>44</v>
      </c>
      <c r="B12" s="179"/>
      <c r="C12" s="179"/>
      <c r="D12" s="179">
        <v>0</v>
      </c>
      <c r="E12" s="179">
        <v>0</v>
      </c>
      <c r="F12" s="179">
        <v>0</v>
      </c>
    </row>
    <row r="13" spans="1:6">
      <c r="A13" s="260" t="s">
        <v>45</v>
      </c>
      <c r="B13" s="179"/>
      <c r="C13" s="179"/>
      <c r="D13" s="179">
        <v>0</v>
      </c>
      <c r="E13" s="179">
        <v>0</v>
      </c>
      <c r="F13" s="179">
        <v>0</v>
      </c>
    </row>
    <row r="14" spans="1:6">
      <c r="A14" s="260" t="s">
        <v>46</v>
      </c>
      <c r="B14" s="179"/>
      <c r="C14" s="179"/>
      <c r="D14" s="179">
        <v>0</v>
      </c>
      <c r="E14" s="179">
        <v>0</v>
      </c>
      <c r="F14" s="179">
        <v>0</v>
      </c>
    </row>
    <row r="15" spans="1:6">
      <c r="A15" s="260" t="s">
        <v>47</v>
      </c>
      <c r="B15" s="179"/>
      <c r="C15" s="179"/>
      <c r="D15" s="179">
        <v>0</v>
      </c>
      <c r="E15" s="179">
        <v>0</v>
      </c>
      <c r="F15" s="179">
        <v>0</v>
      </c>
    </row>
    <row r="16" spans="1:6">
      <c r="A16" s="260" t="s">
        <v>48</v>
      </c>
      <c r="B16" s="179"/>
      <c r="C16" s="179"/>
      <c r="D16" s="179">
        <v>0</v>
      </c>
      <c r="E16" s="179">
        <v>0</v>
      </c>
      <c r="F16" s="179">
        <v>0</v>
      </c>
    </row>
    <row r="17" spans="1:6">
      <c r="A17" s="260" t="s">
        <v>147</v>
      </c>
      <c r="B17" s="179"/>
      <c r="C17" s="179"/>
      <c r="D17" s="179">
        <v>0</v>
      </c>
      <c r="E17" s="179">
        <v>0</v>
      </c>
      <c r="F17" s="179">
        <v>190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Planilhas</vt:lpstr>
      </vt:variant>
      <vt:variant>
        <vt:i4>7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26</vt:i4>
      </vt:variant>
    </vt:vector>
  </HeadingPairs>
  <TitlesOfParts>
    <vt:vector size="34" baseType="lpstr">
      <vt:lpstr>PROVENTOS&amp;DESCONTOS</vt:lpstr>
      <vt:lpstr>GASTOS</vt:lpstr>
      <vt:lpstr>DASHBOARD</vt:lpstr>
      <vt:lpstr>ENTRADA</vt:lpstr>
      <vt:lpstr>CC_JAN</vt:lpstr>
      <vt:lpstr>Classificacao</vt:lpstr>
      <vt:lpstr>Dados Receita</vt:lpstr>
      <vt:lpstr>Gráfico</vt:lpstr>
      <vt:lpstr>CC_JAN</vt:lpstr>
      <vt:lpstr>CC_JAN!Jan2016_ExtratoContaCorrente.txt</vt:lpstr>
      <vt:lpstr>LiquidoAbril</vt:lpstr>
      <vt:lpstr>LiquidoAgosto</vt:lpstr>
      <vt:lpstr>LiquidoDezembro</vt:lpstr>
      <vt:lpstr>LiquidoFevereiro</vt:lpstr>
      <vt:lpstr>LiquidoJaneiro</vt:lpstr>
      <vt:lpstr>LiquidoJulho</vt:lpstr>
      <vt:lpstr>LiquidoJunho</vt:lpstr>
      <vt:lpstr>LiquidoMaio</vt:lpstr>
      <vt:lpstr>LiquidoMarco</vt:lpstr>
      <vt:lpstr>LiquidoNovembro</vt:lpstr>
      <vt:lpstr>LiquidoOutubro</vt:lpstr>
      <vt:lpstr>LiquidoSetembro</vt:lpstr>
      <vt:lpstr>saldoabr</vt:lpstr>
      <vt:lpstr>saldoago</vt:lpstr>
      <vt:lpstr>saldodez</vt:lpstr>
      <vt:lpstr>saldofev</vt:lpstr>
      <vt:lpstr>saldojan</vt:lpstr>
      <vt:lpstr>saldojul</vt:lpstr>
      <vt:lpstr>saldojun</vt:lpstr>
      <vt:lpstr>saldomai</vt:lpstr>
      <vt:lpstr>saldomar</vt:lpstr>
      <vt:lpstr>saldonov</vt:lpstr>
      <vt:lpstr>saldoout</vt:lpstr>
      <vt:lpstr>saldoset</vt:lpstr>
    </vt:vector>
  </TitlesOfParts>
  <Company>Centro de Excelencia em Planilhas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Ronaldo Guastalli</dc:creator>
  <cp:lastModifiedBy>RG PP</cp:lastModifiedBy>
  <cp:lastPrinted>2015-03-11T14:45:07Z</cp:lastPrinted>
  <dcterms:created xsi:type="dcterms:W3CDTF">2006-06-21T12:37:47Z</dcterms:created>
  <dcterms:modified xsi:type="dcterms:W3CDTF">2018-12-08T04:24:45Z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TC102006271046</vt:lpwstr>
  </property>
</Properties>
</file>